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5.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tables/table6.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hidePivotFieldList="1"/>
  <mc:AlternateContent xmlns:mc="http://schemas.openxmlformats.org/markup-compatibility/2006">
    <mc:Choice Requires="x15">
      <x15ac:absPath xmlns:x15ac="http://schemas.microsoft.com/office/spreadsheetml/2010/11/ac" url="https://energisa-my.sharepoint.com/personal/allan_souza_energisa_com_br1/Documents/"/>
    </mc:Choice>
  </mc:AlternateContent>
  <xr:revisionPtr revIDLastSave="0" documentId="8_{13DC3645-CDA6-43C4-9131-B3BDE6EE266C}" xr6:coauthVersionLast="47" xr6:coauthVersionMax="47" xr10:uidLastSave="{00000000-0000-0000-0000-000000000000}"/>
  <bookViews>
    <workbookView xWindow="20370" yWindow="-120" windowWidth="29040" windowHeight="15720" firstSheet="5" activeTab="5" xr2:uid="{00000000-000D-0000-FFFF-FFFF00000000}"/>
  </bookViews>
  <sheets>
    <sheet name="Gerencial" sheetId="19" state="hidden" r:id="rId1"/>
    <sheet name="Pendentes" sheetId="14" r:id="rId2"/>
    <sheet name="Premissas por Equipamento" sheetId="16" state="hidden" r:id="rId3"/>
    <sheet name="Planilha1" sheetId="23" r:id="rId4"/>
    <sheet name="Concluídas" sheetId="17" r:id="rId5"/>
    <sheet name="Criticidade por Equipamento Joa" sheetId="24" r:id="rId6"/>
    <sheet name="Joao" sheetId="25" r:id="rId7"/>
    <sheet name="Criticidade por Equipamento" sheetId="13" r:id="rId8"/>
    <sheet name="Planilha2" sheetId="22" r:id="rId9"/>
    <sheet name="Localidades" sheetId="15" state="hidden" r:id="rId10"/>
    <sheet name="Premissas" sheetId="3" r:id="rId11"/>
    <sheet name="Matriz de Criticidade" sheetId="10" r:id="rId12"/>
  </sheets>
  <externalReferences>
    <externalReference r:id="rId13"/>
    <externalReference r:id="rId14"/>
    <externalReference r:id="rId15"/>
    <externalReference r:id="rId16"/>
    <externalReference r:id="rId17"/>
  </externalReferences>
  <definedNames>
    <definedName name="_xlnm._FilterDatabase" localSheetId="8" hidden="1">Planilha2!$A$1:$AA$117</definedName>
    <definedName name="DadosExternos_1" localSheetId="1" hidden="1">Pendentes!$A$1:$W$94</definedName>
    <definedName name="DadosExternos_2" localSheetId="9" hidden="1">Localidades!$A$1:$G$276</definedName>
    <definedName name="DadosExternos_3" localSheetId="2" hidden="1">'Premissas por Equipamento'!$A$1:$W$117</definedName>
    <definedName name="DadosExternos_4" localSheetId="4" hidden="1">'Concluídas'!$A$1:$L$40</definedName>
  </definedNames>
  <calcPr calcId="191028"/>
  <pivotCaches>
    <pivotCache cacheId="192" r:id="rId18"/>
    <pivotCache cacheId="193"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7" i="24" l="1"/>
  <c r="B23" i="24"/>
  <c r="B4" i="24"/>
  <c r="B26" i="24"/>
  <c r="B9" i="24"/>
  <c r="B15" i="24"/>
  <c r="B73" i="24"/>
  <c r="B95" i="24"/>
  <c r="B96" i="24"/>
  <c r="B47" i="24"/>
  <c r="B110" i="24"/>
  <c r="B28" i="24"/>
  <c r="B53" i="24"/>
  <c r="B78" i="24"/>
  <c r="B35" i="24"/>
  <c r="B90" i="24"/>
  <c r="B61" i="24"/>
  <c r="B98" i="24"/>
  <c r="B99" i="24"/>
  <c r="B46" i="24"/>
  <c r="B69" i="24"/>
  <c r="B84" i="24"/>
  <c r="B60" i="24"/>
  <c r="B8" i="24"/>
  <c r="B107" i="24"/>
  <c r="B39" i="24"/>
  <c r="B79" i="24"/>
  <c r="B12" i="24"/>
  <c r="B36" i="24"/>
  <c r="B44" i="24"/>
  <c r="B49" i="24"/>
  <c r="B94" i="24"/>
  <c r="B58" i="24"/>
  <c r="B6" i="24"/>
  <c r="B80" i="24"/>
  <c r="B75" i="24"/>
  <c r="B11" i="24"/>
  <c r="B32" i="24"/>
  <c r="B25" i="24"/>
  <c r="B5" i="24"/>
  <c r="B119" i="24"/>
  <c r="B45" i="24"/>
  <c r="B115" i="24"/>
  <c r="B7" i="24"/>
  <c r="B2" i="24"/>
  <c r="B18" i="24"/>
  <c r="B21" i="24"/>
  <c r="B24" i="24"/>
  <c r="B52" i="24"/>
  <c r="B68" i="24"/>
  <c r="B86" i="24"/>
  <c r="B82" i="24"/>
  <c r="B34" i="24"/>
  <c r="B101" i="24"/>
  <c r="B93" i="24"/>
  <c r="B102" i="24"/>
  <c r="B118" i="24"/>
  <c r="B3" i="24"/>
  <c r="B14" i="24"/>
  <c r="B43" i="24"/>
  <c r="B87" i="24"/>
  <c r="B103" i="24"/>
  <c r="B109" i="24"/>
  <c r="B10" i="24"/>
  <c r="B56" i="24"/>
  <c r="B71" i="24"/>
  <c r="B77" i="24"/>
  <c r="B83" i="24"/>
  <c r="B97" i="24"/>
  <c r="B106" i="24"/>
  <c r="B108" i="24"/>
  <c r="B124" i="24"/>
  <c r="B130" i="24"/>
  <c r="B41" i="24"/>
  <c r="B89" i="24"/>
  <c r="B19" i="24"/>
  <c r="B20" i="24"/>
  <c r="B27" i="24"/>
  <c r="B40" i="24"/>
  <c r="B54" i="24"/>
  <c r="B70" i="24"/>
  <c r="B74" i="24"/>
  <c r="B85" i="24"/>
  <c r="B88" i="24"/>
  <c r="B105" i="24"/>
  <c r="B117" i="24"/>
  <c r="B120" i="24"/>
  <c r="B123" i="24"/>
  <c r="B50" i="24"/>
  <c r="B55" i="24"/>
  <c r="B62" i="24"/>
  <c r="B64" i="24"/>
  <c r="B66" i="24"/>
  <c r="B31" i="24"/>
  <c r="B16" i="24"/>
  <c r="B67" i="24"/>
  <c r="B81" i="24"/>
  <c r="B116" i="24"/>
  <c r="B104" i="24"/>
  <c r="B29" i="24"/>
  <c r="B30" i="24"/>
  <c r="B42" i="24"/>
  <c r="B76" i="24"/>
  <c r="B111" i="24"/>
  <c r="B122" i="24"/>
  <c r="B92" i="24"/>
  <c r="B51" i="24"/>
  <c r="B113" i="24"/>
  <c r="B112" i="24"/>
  <c r="B125" i="24"/>
  <c r="B57" i="24"/>
  <c r="B114" i="24"/>
  <c r="B65" i="24"/>
  <c r="B13" i="24"/>
  <c r="B100" i="24"/>
  <c r="B63" i="24"/>
  <c r="B22" i="24"/>
  <c r="B128" i="24"/>
  <c r="B91" i="24"/>
  <c r="B48" i="24"/>
  <c r="B121" i="24"/>
  <c r="B17" i="24"/>
  <c r="B59" i="24"/>
  <c r="B72" i="24"/>
  <c r="B33" i="24"/>
  <c r="B38" i="24"/>
  <c r="B37" i="24"/>
  <c r="B129" i="24"/>
  <c r="B131" i="24"/>
  <c r="G37" i="25"/>
  <c r="G35" i="25"/>
  <c r="C34" i="25"/>
  <c r="G33" i="25"/>
  <c r="G32" i="25"/>
  <c r="AA31" i="25"/>
  <c r="G31" i="25"/>
  <c r="C31" i="25"/>
  <c r="N30" i="25"/>
  <c r="G30" i="25"/>
  <c r="C30" i="25"/>
  <c r="AA29" i="25"/>
  <c r="G29" i="25"/>
  <c r="C29" i="25"/>
  <c r="G28" i="25"/>
  <c r="C28" i="25"/>
  <c r="G27" i="25"/>
  <c r="C27" i="25"/>
  <c r="G26" i="25"/>
  <c r="C26" i="25"/>
  <c r="C25" i="25"/>
  <c r="AA24" i="25"/>
  <c r="G24" i="25"/>
  <c r="C24" i="25"/>
  <c r="G23" i="25"/>
  <c r="C23" i="25"/>
  <c r="AA22" i="25"/>
  <c r="G22" i="25"/>
  <c r="C22" i="25"/>
  <c r="AA21" i="25"/>
  <c r="G21" i="25"/>
  <c r="C21" i="25"/>
  <c r="G20" i="25"/>
  <c r="C20" i="25"/>
  <c r="AA19" i="25"/>
  <c r="G19" i="25"/>
  <c r="C19" i="25"/>
  <c r="AA18" i="25"/>
  <c r="C18" i="25"/>
  <c r="AA17" i="25"/>
  <c r="G17" i="25"/>
  <c r="C17" i="25"/>
  <c r="AA16" i="25"/>
  <c r="C16" i="25"/>
  <c r="AA15" i="25"/>
  <c r="G15" i="25"/>
  <c r="C15" i="25"/>
  <c r="AA14" i="25"/>
  <c r="G14" i="25"/>
  <c r="C14" i="25"/>
  <c r="G13" i="25"/>
  <c r="C13" i="25"/>
  <c r="AA12" i="25"/>
  <c r="G12" i="25"/>
  <c r="C12" i="25"/>
  <c r="G11" i="25"/>
  <c r="C11" i="25"/>
  <c r="AA10" i="25"/>
  <c r="G10" i="25"/>
  <c r="C10" i="25"/>
  <c r="AA9" i="25"/>
  <c r="G9" i="25"/>
  <c r="C9" i="25"/>
  <c r="AA8" i="25"/>
  <c r="G8" i="25"/>
  <c r="C8" i="25"/>
  <c r="G7" i="25"/>
  <c r="C7" i="25"/>
  <c r="C6" i="25"/>
  <c r="C5" i="25"/>
  <c r="C4" i="25"/>
  <c r="G3" i="25"/>
  <c r="C3" i="25"/>
  <c r="W131" i="24"/>
  <c r="N131" i="24"/>
  <c r="C131" i="24"/>
  <c r="W129" i="24"/>
  <c r="N129" i="24"/>
  <c r="G129" i="24"/>
  <c r="C129" i="24"/>
  <c r="W37" i="24"/>
  <c r="N37" i="24"/>
  <c r="G37" i="24"/>
  <c r="C37" i="24"/>
  <c r="W38" i="24"/>
  <c r="N38" i="24"/>
  <c r="G38" i="24"/>
  <c r="C38" i="24"/>
  <c r="W33" i="24"/>
  <c r="N33" i="24"/>
  <c r="G33" i="24"/>
  <c r="C33" i="24"/>
  <c r="W72" i="24"/>
  <c r="N72" i="24"/>
  <c r="G72" i="24"/>
  <c r="C72" i="24"/>
  <c r="W59" i="24"/>
  <c r="N59" i="24"/>
  <c r="G59" i="24"/>
  <c r="C59" i="24"/>
  <c r="W17" i="24"/>
  <c r="N17" i="24"/>
  <c r="G17" i="24"/>
  <c r="C17" i="24"/>
  <c r="W121" i="24"/>
  <c r="N121" i="24"/>
  <c r="G121" i="24"/>
  <c r="C121" i="24"/>
  <c r="W48" i="24"/>
  <c r="N48" i="24"/>
  <c r="G48" i="24"/>
  <c r="C48" i="24"/>
  <c r="W91" i="24"/>
  <c r="N91" i="24"/>
  <c r="G91" i="24"/>
  <c r="C91" i="24"/>
  <c r="W128" i="24"/>
  <c r="N128" i="24"/>
  <c r="G128" i="24"/>
  <c r="C128" i="24"/>
  <c r="W22" i="24"/>
  <c r="N22" i="24"/>
  <c r="G22" i="24"/>
  <c r="C22" i="24"/>
  <c r="W63" i="24"/>
  <c r="N63" i="24"/>
  <c r="G63" i="24"/>
  <c r="C63" i="24"/>
  <c r="W100" i="24"/>
  <c r="N100" i="24"/>
  <c r="G100" i="24"/>
  <c r="C100" i="24"/>
  <c r="W13" i="24"/>
  <c r="N13" i="24"/>
  <c r="G13" i="24"/>
  <c r="C13" i="24"/>
  <c r="W65" i="24"/>
  <c r="N65" i="24"/>
  <c r="G65" i="24"/>
  <c r="C65" i="24"/>
  <c r="W114" i="24"/>
  <c r="N114" i="24"/>
  <c r="G114" i="24"/>
  <c r="C114" i="24"/>
  <c r="W57" i="24"/>
  <c r="N57" i="24"/>
  <c r="G57" i="24"/>
  <c r="C57" i="24"/>
  <c r="W125" i="24"/>
  <c r="N125" i="24"/>
  <c r="G125" i="24"/>
  <c r="C125" i="24"/>
  <c r="W112" i="24"/>
  <c r="N112" i="24"/>
  <c r="G112" i="24"/>
  <c r="C112" i="24"/>
  <c r="W113" i="24"/>
  <c r="N113" i="24"/>
  <c r="G113" i="24"/>
  <c r="C113" i="24"/>
  <c r="W51" i="24"/>
  <c r="N51" i="24"/>
  <c r="G51" i="24"/>
  <c r="C51" i="24"/>
  <c r="W92" i="24"/>
  <c r="N92" i="24"/>
  <c r="G92" i="24"/>
  <c r="C92" i="24"/>
  <c r="W122" i="24"/>
  <c r="N122" i="24"/>
  <c r="G122" i="24"/>
  <c r="C122" i="24"/>
  <c r="W111" i="24"/>
  <c r="N111" i="24"/>
  <c r="G111" i="24"/>
  <c r="C111" i="24"/>
  <c r="W76" i="24"/>
  <c r="N76" i="24"/>
  <c r="G76" i="24"/>
  <c r="C76" i="24"/>
  <c r="W42" i="24"/>
  <c r="N42" i="24"/>
  <c r="G42" i="24"/>
  <c r="C42" i="24"/>
  <c r="W30" i="24"/>
  <c r="N30" i="24"/>
  <c r="G30" i="24"/>
  <c r="C30" i="24"/>
  <c r="W29" i="24"/>
  <c r="N29" i="24"/>
  <c r="G29" i="24"/>
  <c r="C29" i="24"/>
  <c r="W104" i="24"/>
  <c r="N104" i="24"/>
  <c r="G104" i="24"/>
  <c r="C104" i="24"/>
  <c r="W116" i="24"/>
  <c r="N116" i="24"/>
  <c r="G116" i="24"/>
  <c r="C116" i="24"/>
  <c r="W81" i="24"/>
  <c r="N81" i="24"/>
  <c r="G81" i="24"/>
  <c r="C81" i="24"/>
  <c r="W67" i="24"/>
  <c r="N67" i="24"/>
  <c r="G67" i="24"/>
  <c r="C67" i="24"/>
  <c r="W16" i="24"/>
  <c r="N16" i="24"/>
  <c r="G16" i="24"/>
  <c r="C16" i="24"/>
  <c r="W31" i="24"/>
  <c r="N31" i="24"/>
  <c r="G31" i="24"/>
  <c r="C31" i="24"/>
  <c r="W66" i="24"/>
  <c r="N66" i="24"/>
  <c r="G66" i="24"/>
  <c r="C66" i="24"/>
  <c r="W64" i="24"/>
  <c r="N64" i="24"/>
  <c r="G64" i="24"/>
  <c r="C64" i="24"/>
  <c r="W62" i="24"/>
  <c r="N62" i="24"/>
  <c r="G62" i="24"/>
  <c r="C62" i="24"/>
  <c r="W55" i="24"/>
  <c r="N55" i="24"/>
  <c r="G55" i="24"/>
  <c r="C55" i="24"/>
  <c r="W50" i="24"/>
  <c r="N50" i="24"/>
  <c r="G50" i="24"/>
  <c r="C50" i="24"/>
  <c r="W123" i="24"/>
  <c r="N123" i="24"/>
  <c r="G123" i="24"/>
  <c r="C123" i="24"/>
  <c r="W120" i="24"/>
  <c r="N120" i="24"/>
  <c r="G120" i="24"/>
  <c r="C120" i="24"/>
  <c r="W117" i="24"/>
  <c r="N117" i="24"/>
  <c r="G117" i="24"/>
  <c r="C117" i="24"/>
  <c r="W105" i="24"/>
  <c r="N105" i="24"/>
  <c r="G105" i="24"/>
  <c r="C105" i="24"/>
  <c r="W88" i="24"/>
  <c r="N88" i="24"/>
  <c r="G88" i="24"/>
  <c r="C88" i="24"/>
  <c r="W85" i="24"/>
  <c r="N85" i="24"/>
  <c r="G85" i="24"/>
  <c r="C85" i="24"/>
  <c r="W74" i="24"/>
  <c r="N74" i="24"/>
  <c r="G74" i="24"/>
  <c r="C74" i="24"/>
  <c r="W70" i="24"/>
  <c r="N70" i="24"/>
  <c r="G70" i="24"/>
  <c r="C70" i="24"/>
  <c r="W54" i="24"/>
  <c r="N54" i="24"/>
  <c r="G54" i="24"/>
  <c r="C54" i="24"/>
  <c r="W40" i="24"/>
  <c r="N40" i="24"/>
  <c r="G40" i="24"/>
  <c r="C40" i="24"/>
  <c r="W27" i="24"/>
  <c r="N27" i="24"/>
  <c r="G27" i="24"/>
  <c r="C27" i="24"/>
  <c r="W20" i="24"/>
  <c r="N20" i="24"/>
  <c r="G20" i="24"/>
  <c r="C20" i="24"/>
  <c r="W19" i="24"/>
  <c r="N19" i="24"/>
  <c r="G19" i="24"/>
  <c r="C19" i="24"/>
  <c r="W126" i="24"/>
  <c r="N126" i="24"/>
  <c r="G126" i="24"/>
  <c r="C126" i="24"/>
  <c r="W89" i="24"/>
  <c r="N89" i="24"/>
  <c r="G89" i="24"/>
  <c r="C89" i="24"/>
  <c r="W41" i="24"/>
  <c r="N41" i="24"/>
  <c r="G41" i="24"/>
  <c r="C41" i="24"/>
  <c r="W130" i="24"/>
  <c r="N130" i="24"/>
  <c r="G130" i="24"/>
  <c r="C130" i="24"/>
  <c r="W124" i="24"/>
  <c r="N124" i="24"/>
  <c r="G124" i="24"/>
  <c r="C124" i="24"/>
  <c r="W108" i="24"/>
  <c r="N108" i="24"/>
  <c r="G108" i="24"/>
  <c r="C108" i="24"/>
  <c r="W106" i="24"/>
  <c r="N106" i="24"/>
  <c r="G106" i="24"/>
  <c r="C106" i="24"/>
  <c r="W97" i="24"/>
  <c r="N97" i="24"/>
  <c r="G97" i="24"/>
  <c r="C97" i="24"/>
  <c r="W83" i="24"/>
  <c r="N83" i="24"/>
  <c r="G83" i="24"/>
  <c r="C83" i="24"/>
  <c r="W77" i="24"/>
  <c r="N77" i="24"/>
  <c r="G77" i="24"/>
  <c r="C77" i="24"/>
  <c r="W71" i="24"/>
  <c r="N71" i="24"/>
  <c r="G71" i="24"/>
  <c r="C71" i="24"/>
  <c r="W56" i="24"/>
  <c r="N56" i="24"/>
  <c r="G56" i="24"/>
  <c r="C56" i="24"/>
  <c r="W10" i="24"/>
  <c r="N10" i="24"/>
  <c r="G10" i="24"/>
  <c r="C10" i="24"/>
  <c r="W109" i="24"/>
  <c r="N109" i="24"/>
  <c r="G109" i="24"/>
  <c r="C109" i="24"/>
  <c r="W103" i="24"/>
  <c r="N103" i="24"/>
  <c r="G103" i="24"/>
  <c r="C103" i="24"/>
  <c r="W87" i="24"/>
  <c r="N87" i="24"/>
  <c r="G87" i="24"/>
  <c r="C87" i="24"/>
  <c r="W43" i="24"/>
  <c r="N43" i="24"/>
  <c r="G43" i="24"/>
  <c r="C43" i="24"/>
  <c r="W23" i="24"/>
  <c r="N23" i="24"/>
  <c r="G23" i="24"/>
  <c r="C23" i="24"/>
  <c r="W14" i="24"/>
  <c r="N14" i="24"/>
  <c r="G14" i="24"/>
  <c r="C14" i="24"/>
  <c r="W3" i="24"/>
  <c r="G3" i="24"/>
  <c r="C3" i="24"/>
  <c r="W118" i="24"/>
  <c r="N118" i="24"/>
  <c r="G118" i="24"/>
  <c r="C118" i="24"/>
  <c r="W102" i="24"/>
  <c r="N102" i="24"/>
  <c r="G102" i="24"/>
  <c r="C102" i="24"/>
  <c r="W93" i="24"/>
  <c r="N93" i="24"/>
  <c r="G93" i="24"/>
  <c r="C93" i="24"/>
  <c r="W101" i="24"/>
  <c r="N101" i="24"/>
  <c r="G101" i="24"/>
  <c r="C101" i="24"/>
  <c r="W34" i="24"/>
  <c r="N34" i="24"/>
  <c r="G34" i="24"/>
  <c r="C34" i="24"/>
  <c r="W82" i="24"/>
  <c r="N82" i="24"/>
  <c r="G82" i="24"/>
  <c r="C82" i="24"/>
  <c r="W86" i="24"/>
  <c r="N86" i="24"/>
  <c r="G86" i="24"/>
  <c r="C86" i="24"/>
  <c r="W68" i="24"/>
  <c r="N68" i="24"/>
  <c r="G68" i="24"/>
  <c r="C68" i="24"/>
  <c r="W52" i="24"/>
  <c r="N52" i="24"/>
  <c r="G52" i="24"/>
  <c r="C52" i="24"/>
  <c r="W24" i="24"/>
  <c r="N24" i="24"/>
  <c r="G24" i="24"/>
  <c r="C24" i="24"/>
  <c r="W21" i="24"/>
  <c r="N21" i="24"/>
  <c r="G21" i="24"/>
  <c r="C21" i="24"/>
  <c r="W18" i="24"/>
  <c r="N18" i="24"/>
  <c r="G18" i="24"/>
  <c r="C18" i="24"/>
  <c r="W2" i="24"/>
  <c r="N2" i="24"/>
  <c r="G2" i="24"/>
  <c r="C2" i="24"/>
  <c r="W7" i="24"/>
  <c r="N7" i="24"/>
  <c r="G7" i="24"/>
  <c r="C7" i="24"/>
  <c r="W115" i="24"/>
  <c r="N115" i="24"/>
  <c r="G115" i="24"/>
  <c r="C115" i="24"/>
  <c r="W45" i="24"/>
  <c r="N45" i="24"/>
  <c r="G45" i="24"/>
  <c r="C45" i="24"/>
  <c r="W119" i="24"/>
  <c r="N119" i="24"/>
  <c r="G119" i="24"/>
  <c r="C119" i="24"/>
  <c r="W5" i="24"/>
  <c r="N5" i="24"/>
  <c r="G5" i="24"/>
  <c r="C5" i="24"/>
  <c r="W25" i="24"/>
  <c r="N25" i="24"/>
  <c r="G25" i="24"/>
  <c r="C25" i="24"/>
  <c r="W32" i="24"/>
  <c r="N32" i="24"/>
  <c r="G32" i="24"/>
  <c r="C32" i="24"/>
  <c r="W11" i="24"/>
  <c r="N11" i="24"/>
  <c r="G11" i="24"/>
  <c r="C11" i="24"/>
  <c r="W75" i="24"/>
  <c r="N75" i="24"/>
  <c r="G75" i="24"/>
  <c r="C75" i="24"/>
  <c r="W80" i="24"/>
  <c r="N80" i="24"/>
  <c r="G80" i="24"/>
  <c r="C80" i="24"/>
  <c r="W6" i="24"/>
  <c r="N6" i="24"/>
  <c r="G6" i="24"/>
  <c r="C6" i="24"/>
  <c r="W58" i="24"/>
  <c r="N58" i="24"/>
  <c r="G58" i="24"/>
  <c r="C58" i="24"/>
  <c r="W94" i="24"/>
  <c r="N94" i="24"/>
  <c r="G94" i="24"/>
  <c r="C94" i="24"/>
  <c r="W49" i="24"/>
  <c r="N49" i="24"/>
  <c r="G49" i="24"/>
  <c r="C49" i="24"/>
  <c r="W44" i="24"/>
  <c r="N44" i="24"/>
  <c r="C44" i="24"/>
  <c r="W36" i="24"/>
  <c r="N36" i="24"/>
  <c r="G36" i="24"/>
  <c r="C36" i="24"/>
  <c r="W12" i="24"/>
  <c r="N12" i="24"/>
  <c r="G12" i="24"/>
  <c r="C12" i="24"/>
  <c r="W79" i="24"/>
  <c r="N79" i="24"/>
  <c r="G79" i="24"/>
  <c r="C79" i="24"/>
  <c r="W39" i="24"/>
  <c r="N39" i="24"/>
  <c r="G39" i="24"/>
  <c r="C39" i="24"/>
  <c r="W107" i="24"/>
  <c r="N107" i="24"/>
  <c r="G107" i="24"/>
  <c r="C107" i="24"/>
  <c r="W8" i="24"/>
  <c r="N8" i="24"/>
  <c r="G8" i="24"/>
  <c r="C8" i="24"/>
  <c r="W60" i="24"/>
  <c r="N60" i="24"/>
  <c r="G60" i="24"/>
  <c r="C60" i="24"/>
  <c r="W84" i="24"/>
  <c r="N84" i="24"/>
  <c r="G84" i="24"/>
  <c r="C84" i="24"/>
  <c r="W127" i="24"/>
  <c r="N127" i="24"/>
  <c r="G127" i="24"/>
  <c r="C127" i="24"/>
  <c r="W69" i="24"/>
  <c r="N69" i="24"/>
  <c r="G69" i="24"/>
  <c r="C69" i="24"/>
  <c r="W46" i="24"/>
  <c r="N46" i="24"/>
  <c r="G46" i="24"/>
  <c r="C46" i="24"/>
  <c r="W99" i="24"/>
  <c r="N99" i="24"/>
  <c r="G99" i="24"/>
  <c r="C99" i="24"/>
  <c r="W98" i="24"/>
  <c r="N98" i="24"/>
  <c r="G98" i="24"/>
  <c r="C98" i="24"/>
  <c r="W61" i="24"/>
  <c r="N61" i="24"/>
  <c r="G61" i="24"/>
  <c r="C61" i="24"/>
  <c r="W90" i="24"/>
  <c r="N90" i="24"/>
  <c r="G90" i="24"/>
  <c r="C90" i="24"/>
  <c r="W35" i="24"/>
  <c r="N35" i="24"/>
  <c r="G35" i="24"/>
  <c r="C35" i="24"/>
  <c r="W78" i="24"/>
  <c r="N78" i="24"/>
  <c r="G78" i="24"/>
  <c r="C78" i="24"/>
  <c r="W53" i="24"/>
  <c r="N53" i="24"/>
  <c r="G53" i="24"/>
  <c r="C53" i="24"/>
  <c r="W28" i="24"/>
  <c r="N28" i="24"/>
  <c r="G28" i="24"/>
  <c r="C28" i="24"/>
  <c r="W110" i="24"/>
  <c r="N110" i="24"/>
  <c r="G110" i="24"/>
  <c r="C110" i="24"/>
  <c r="W47" i="24"/>
  <c r="N47" i="24"/>
  <c r="G47" i="24"/>
  <c r="C47" i="24"/>
  <c r="W96" i="24"/>
  <c r="N96" i="24"/>
  <c r="G96" i="24"/>
  <c r="C96" i="24"/>
  <c r="W95" i="24"/>
  <c r="N95" i="24"/>
  <c r="G95" i="24"/>
  <c r="C95" i="24"/>
  <c r="W73" i="24"/>
  <c r="N73" i="24"/>
  <c r="G73" i="24"/>
  <c r="C73" i="24"/>
  <c r="W15" i="24"/>
  <c r="N15" i="24"/>
  <c r="G15" i="24"/>
  <c r="C15" i="24"/>
  <c r="W9" i="24"/>
  <c r="N9" i="24"/>
  <c r="G9" i="24"/>
  <c r="C9" i="24"/>
  <c r="W26" i="24"/>
  <c r="N26" i="24"/>
  <c r="G26" i="24"/>
  <c r="C26" i="24"/>
  <c r="W4" i="24"/>
  <c r="N4" i="24"/>
  <c r="G4" i="24"/>
  <c r="C4" i="24"/>
  <c r="B131" i="13"/>
  <c r="L131" i="13"/>
  <c r="U131" i="13"/>
  <c r="B118" i="13"/>
  <c r="B119" i="13"/>
  <c r="B120" i="13"/>
  <c r="B121" i="13"/>
  <c r="B122" i="13"/>
  <c r="B123" i="13"/>
  <c r="B124" i="13"/>
  <c r="B125" i="13"/>
  <c r="B126" i="13"/>
  <c r="B127" i="13"/>
  <c r="B128" i="13"/>
  <c r="B129" i="13"/>
  <c r="B130" i="13"/>
  <c r="F118" i="13"/>
  <c r="F119" i="13"/>
  <c r="F120" i="13"/>
  <c r="F121" i="13"/>
  <c r="F122" i="13"/>
  <c r="F123" i="13"/>
  <c r="F124" i="13"/>
  <c r="F125" i="13"/>
  <c r="F126" i="13"/>
  <c r="F127" i="13"/>
  <c r="F128" i="13"/>
  <c r="F129" i="13"/>
  <c r="F130" i="13"/>
  <c r="L118" i="13"/>
  <c r="L119" i="13"/>
  <c r="L120" i="13"/>
  <c r="L121" i="13"/>
  <c r="L122" i="13"/>
  <c r="L123" i="13"/>
  <c r="L124" i="13"/>
  <c r="L125" i="13"/>
  <c r="L126" i="13"/>
  <c r="L127" i="13"/>
  <c r="L128" i="13"/>
  <c r="L129" i="13"/>
  <c r="L130" i="13"/>
  <c r="U118" i="13"/>
  <c r="U119" i="13"/>
  <c r="U120" i="13"/>
  <c r="U121" i="13"/>
  <c r="U122" i="13"/>
  <c r="U123" i="13"/>
  <c r="U124" i="13"/>
  <c r="U125" i="13"/>
  <c r="U126" i="13"/>
  <c r="U127" i="13"/>
  <c r="U128" i="13"/>
  <c r="U129" i="13"/>
  <c r="U130" i="13"/>
  <c r="L101" i="13"/>
  <c r="L99" i="13"/>
  <c r="L98" i="13"/>
  <c r="L97" i="13"/>
  <c r="L95" i="13"/>
  <c r="L91" i="13"/>
  <c r="B3" i="13"/>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72" i="13"/>
  <c r="B73" i="13"/>
  <c r="B74" i="13"/>
  <c r="B75" i="13"/>
  <c r="B76" i="13"/>
  <c r="B77" i="13"/>
  <c r="B78" i="13"/>
  <c r="B79" i="13"/>
  <c r="B80" i="13"/>
  <c r="B81" i="13"/>
  <c r="B82" i="13"/>
  <c r="B83" i="13"/>
  <c r="B84" i="13"/>
  <c r="B85" i="13"/>
  <c r="B86" i="13"/>
  <c r="B87" i="13"/>
  <c r="B88" i="13"/>
  <c r="B89" i="13"/>
  <c r="B90" i="13"/>
  <c r="B91" i="13"/>
  <c r="B92" i="13"/>
  <c r="B93" i="13"/>
  <c r="B94" i="13"/>
  <c r="B95" i="13"/>
  <c r="B96" i="13"/>
  <c r="B97" i="13"/>
  <c r="B98" i="13"/>
  <c r="B99" i="13"/>
  <c r="B100" i="13"/>
  <c r="B101" i="13"/>
  <c r="B102" i="13"/>
  <c r="B103" i="13"/>
  <c r="B104" i="13"/>
  <c r="B105" i="13"/>
  <c r="B106" i="13"/>
  <c r="B107" i="13"/>
  <c r="B108" i="13"/>
  <c r="B109" i="13"/>
  <c r="B110" i="13"/>
  <c r="B111" i="13"/>
  <c r="B112" i="13"/>
  <c r="B113" i="13"/>
  <c r="B114" i="13"/>
  <c r="B115" i="13"/>
  <c r="B116" i="13"/>
  <c r="B117" i="13"/>
  <c r="L59" i="13"/>
  <c r="L55" i="13"/>
  <c r="L46" i="13"/>
  <c r="L3" i="13"/>
  <c r="L4" i="13"/>
  <c r="L5" i="13"/>
  <c r="L6" i="13"/>
  <c r="L7" i="13"/>
  <c r="L8" i="13"/>
  <c r="L9" i="13"/>
  <c r="L10" i="13"/>
  <c r="L11" i="13"/>
  <c r="L12" i="13"/>
  <c r="L13" i="13"/>
  <c r="L14" i="13"/>
  <c r="L15" i="13"/>
  <c r="L16" i="13"/>
  <c r="L17" i="13"/>
  <c r="L18" i="13"/>
  <c r="L19" i="13"/>
  <c r="L20" i="13"/>
  <c r="L21" i="13"/>
  <c r="L22" i="13"/>
  <c r="L23" i="13"/>
  <c r="L24" i="13"/>
  <c r="L25" i="13"/>
  <c r="L26" i="13"/>
  <c r="L27" i="13"/>
  <c r="L28" i="13"/>
  <c r="L29" i="13"/>
  <c r="L30" i="13"/>
  <c r="L31" i="13"/>
  <c r="L32" i="13"/>
  <c r="L33" i="13"/>
  <c r="L34" i="13"/>
  <c r="L35" i="13"/>
  <c r="L36" i="13"/>
  <c r="L37" i="13"/>
  <c r="L38" i="13"/>
  <c r="L39" i="13"/>
  <c r="L40" i="13"/>
  <c r="L41" i="13"/>
  <c r="L42" i="13"/>
  <c r="L43" i="13"/>
  <c r="L44" i="13"/>
  <c r="L45" i="13"/>
  <c r="L47" i="13"/>
  <c r="L48" i="13"/>
  <c r="L49" i="13"/>
  <c r="L50" i="13"/>
  <c r="L51" i="13"/>
  <c r="L52" i="13"/>
  <c r="L53" i="13"/>
  <c r="L54" i="13"/>
  <c r="L56" i="13"/>
  <c r="L57" i="13"/>
  <c r="L60" i="13"/>
  <c r="L61" i="13"/>
  <c r="L62" i="13"/>
  <c r="L63" i="13"/>
  <c r="L64" i="13"/>
  <c r="L65" i="13"/>
  <c r="L66" i="13"/>
  <c r="L67" i="13"/>
  <c r="L68" i="13"/>
  <c r="L69" i="13"/>
  <c r="L70" i="13"/>
  <c r="L71" i="13"/>
  <c r="L72" i="13"/>
  <c r="L73" i="13"/>
  <c r="L74" i="13"/>
  <c r="L75" i="13"/>
  <c r="L76" i="13"/>
  <c r="L77" i="13"/>
  <c r="L78" i="13"/>
  <c r="L79" i="13"/>
  <c r="L80" i="13"/>
  <c r="L81" i="13"/>
  <c r="L82" i="13"/>
  <c r="L83" i="13"/>
  <c r="L84" i="13"/>
  <c r="L85" i="13"/>
  <c r="L86" i="13"/>
  <c r="L87" i="13"/>
  <c r="L88" i="13"/>
  <c r="L89" i="13"/>
  <c r="L90" i="13"/>
  <c r="L92" i="13"/>
  <c r="L93" i="13"/>
  <c r="L94" i="13"/>
  <c r="L96" i="13"/>
  <c r="L100" i="13"/>
  <c r="L102" i="13"/>
  <c r="L103" i="13"/>
  <c r="L104" i="13"/>
  <c r="L105" i="13"/>
  <c r="L106" i="13"/>
  <c r="L107" i="13"/>
  <c r="L108" i="13"/>
  <c r="L109" i="13"/>
  <c r="L110" i="13"/>
  <c r="L111" i="13"/>
  <c r="L112" i="13"/>
  <c r="L113" i="13"/>
  <c r="L114" i="13"/>
  <c r="L115" i="13"/>
  <c r="L116" i="13"/>
  <c r="L117" i="13"/>
  <c r="F3" i="13"/>
  <c r="F4" i="13"/>
  <c r="F5" i="13"/>
  <c r="F6" i="13"/>
  <c r="F7" i="13"/>
  <c r="F8" i="13"/>
  <c r="F9" i="13"/>
  <c r="F10" i="13"/>
  <c r="F11" i="13"/>
  <c r="F12" i="13"/>
  <c r="F13" i="13"/>
  <c r="F14" i="13"/>
  <c r="F15" i="13"/>
  <c r="F16" i="13"/>
  <c r="F17" i="13"/>
  <c r="F18" i="13"/>
  <c r="F19" i="13"/>
  <c r="F20" i="13"/>
  <c r="F21" i="13"/>
  <c r="F22" i="13"/>
  <c r="F23" i="13"/>
  <c r="F24" i="13"/>
  <c r="F25" i="13"/>
  <c r="F26" i="13"/>
  <c r="F27" i="13"/>
  <c r="F28" i="13"/>
  <c r="F29"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U59" i="13" l="1"/>
  <c r="D98" i="22" l="1" a="1"/>
  <c r="D98" i="22" s="1"/>
  <c r="D83" i="22" a="1"/>
  <c r="D83" i="22" s="1"/>
  <c r="D77" i="22" a="1"/>
  <c r="D77" i="22" s="1"/>
  <c r="D59" i="22" a="1"/>
  <c r="D59" i="22" s="1"/>
  <c r="D37" i="22" a="1"/>
  <c r="D37" i="22" s="1"/>
  <c r="D35" i="22" a="1"/>
  <c r="D35" i="22" s="1"/>
  <c r="D23" i="22" a="1"/>
  <c r="D23" i="22" s="1"/>
  <c r="D14" i="22" a="1"/>
  <c r="D14" i="22" s="1"/>
  <c r="U105" i="13" l="1"/>
  <c r="U106" i="13"/>
  <c r="U107" i="13"/>
  <c r="U108" i="13"/>
  <c r="U109" i="13"/>
  <c r="U110" i="13"/>
  <c r="U111" i="13"/>
  <c r="U112" i="13"/>
  <c r="U113" i="13"/>
  <c r="U114" i="13"/>
  <c r="U115" i="13"/>
  <c r="U116" i="13"/>
  <c r="U117" i="13"/>
  <c r="I4" i="19" l="1"/>
  <c r="I5" i="19"/>
  <c r="I6" i="19"/>
  <c r="I7" i="19"/>
  <c r="I3" i="19"/>
  <c r="I8" i="19" s="1"/>
  <c r="U9" i="13" l="1"/>
  <c r="U46" i="13"/>
  <c r="U38" i="13"/>
  <c r="U95" i="13"/>
  <c r="U48" i="13"/>
  <c r="U17" i="13"/>
  <c r="U97" i="13"/>
  <c r="U47" i="13"/>
  <c r="U19" i="13"/>
  <c r="U45" i="13"/>
  <c r="U71" i="13"/>
  <c r="U4" i="13"/>
  <c r="U12" i="13" l="1"/>
  <c r="U6" i="13"/>
  <c r="U15" i="13"/>
  <c r="U64" i="13"/>
  <c r="U91" i="13"/>
  <c r="U73" i="13"/>
  <c r="U13" i="13"/>
  <c r="U27" i="13"/>
  <c r="U43" i="13"/>
  <c r="U33" i="13"/>
  <c r="U90" i="13"/>
  <c r="U99" i="13"/>
  <c r="U74" i="13"/>
  <c r="U37" i="13"/>
  <c r="U68" i="13"/>
  <c r="U75" i="13"/>
  <c r="U83" i="13"/>
  <c r="U98" i="13"/>
  <c r="U22" i="13"/>
  <c r="L2" i="13" l="1"/>
  <c r="F2" i="13"/>
  <c r="U7" i="13" l="1"/>
  <c r="U10" i="13"/>
  <c r="U104" i="13"/>
  <c r="U35" i="13"/>
  <c r="U41" i="13"/>
  <c r="U94" i="13"/>
  <c r="U60" i="13"/>
  <c r="U2" i="13"/>
  <c r="B2" i="13"/>
  <c r="U69" i="13"/>
  <c r="U89" i="13"/>
  <c r="U56" i="13"/>
  <c r="U100" i="13"/>
  <c r="U70" i="13"/>
  <c r="U65" i="13"/>
  <c r="U92" i="13"/>
  <c r="U72" i="13"/>
  <c r="U93" i="13"/>
  <c r="U31" i="13"/>
  <c r="U67" i="13"/>
  <c r="U30" i="13"/>
  <c r="U102" i="13"/>
  <c r="U103" i="13"/>
  <c r="U101" i="13"/>
  <c r="U96" i="13"/>
  <c r="U81" i="13"/>
  <c r="U88" i="13"/>
  <c r="U87" i="13"/>
  <c r="U86" i="13"/>
  <c r="U85" i="13"/>
  <c r="U84" i="13"/>
  <c r="U82" i="13"/>
  <c r="U80" i="13"/>
  <c r="U79" i="13"/>
  <c r="U78" i="13"/>
  <c r="U77" i="13"/>
  <c r="U76" i="13"/>
  <c r="U66" i="13"/>
  <c r="U63" i="13"/>
  <c r="U62" i="13"/>
  <c r="U61" i="13"/>
  <c r="U58" i="13"/>
  <c r="U57" i="13"/>
  <c r="U55" i="13"/>
  <c r="U52" i="13"/>
  <c r="U51" i="13"/>
  <c r="U54" i="13"/>
  <c r="U49" i="13"/>
  <c r="U53" i="13"/>
  <c r="U50" i="13"/>
  <c r="U44" i="13"/>
  <c r="U42" i="13"/>
  <c r="U34" i="13"/>
  <c r="U40" i="13"/>
  <c r="U39" i="13"/>
  <c r="U36" i="13"/>
  <c r="U25" i="13"/>
  <c r="U29" i="13"/>
  <c r="U28" i="13"/>
  <c r="U32" i="13"/>
  <c r="U26" i="13"/>
  <c r="U24" i="13"/>
  <c r="U23" i="13"/>
  <c r="U21" i="13"/>
  <c r="U18" i="13"/>
  <c r="U20" i="13"/>
  <c r="U16" i="13"/>
  <c r="U14" i="13"/>
  <c r="U11" i="13"/>
  <c r="U8" i="13"/>
  <c r="U3" i="13"/>
  <c r="U5"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tc={6E139C2E-CDD2-4D41-B3DB-7E6D67770E02}</author>
    <author>tc={B9554FAB-B93A-4A33-A94A-18003134722F}</author>
    <author>tc={D708458E-3082-42BE-BA9C-FB76140F8A89}</author>
    <author>tc={5E0A5B36-30BA-4785-9EC7-D9E59F1B16CE}</author>
    <author>tc={2832532F-3601-467A-AD62-C3A497EF3F2F}</author>
    <author>tc={59C5E8B4-950F-4728-A552-4F68E2A85566}</author>
    <author>tc={C67DE103-245C-480C-AFF1-8C8083938B75}</author>
    <author>tc={2058EF75-2506-49C6-943C-0BAF81E854D5}</author>
    <author>tc={2A646E23-7359-4DAA-8D67-66CEB4A83557}</author>
    <author>tc={B310DD81-FDB4-4F35-8D41-78710C9E81A3}</author>
    <author>tc={4B850DF9-9D81-4FD5-8455-43E1F38C3E1F}</author>
    <author>tc={9AD85768-E606-4DBC-95DD-02B1E72530BC}</author>
    <author>tc={F375E268-C2EA-4FF1-BEB3-31A2F451652F}</author>
    <author>tc={CD0B1590-A453-4743-B7D1-8AF3FB367521}</author>
    <author>tc={535E2C4F-7CF7-4D1A-BED5-6155ADC108E2}</author>
    <author>tc={DC2E55DF-8169-487D-A11A-15E83A494C0F}</author>
    <author>tc={0325A06D-7BE0-4393-AAAC-8D5E8037A023}</author>
    <author>tc={1E8F91FD-46BF-4C84-BBB2-1D5735B92A8E}</author>
    <author>tc={15EA5A79-A9E3-4B39-958F-C93A8E6CC1DA}</author>
    <author>tc={2AF65545-6B4E-4DD7-9198-31E0C1B096EA}</author>
    <author>tc={255CB460-5F6C-4BF8-8027-E4F6AD6F6B58}</author>
    <author>tc={D704E761-0AD8-4A99-B919-33F6BAC9A363}</author>
  </authors>
  <commentList>
    <comment ref="A6" authorId="0" shapeId="0" xr:uid="{6E139C2E-CDD2-4D41-B3DB-7E6D67770E02}">
      <text>
        <t>[Threaded comment]
Your version of Excel allows you to read this threaded comment; however, any edits to it will get removed if the file is opened in a newer version of Excel. Learn more: https://go.microsoft.com/fwlink/?linkid=870924
Comment:
    Equipamento alinhado com o Jean para colocar os cabos compatibilizadores</t>
      </text>
    </comment>
    <comment ref="H7" authorId="1" shapeId="0" xr:uid="{B9554FAB-B93A-4A33-A94A-18003134722F}">
      <text>
        <t>[Threaded comment]
Your version of Excel allows you to read this threaded comment; however, any edits to it will get removed if the file is opened in a newer version of Excel. Learn more: https://go.microsoft.com/fwlink/?linkid=870924
Comment:
    Ocorreu simultaneo era caso de furto</t>
      </text>
    </comment>
    <comment ref="A9" authorId="2" shapeId="0" xr:uid="{D708458E-3082-42BE-BA9C-FB76140F8A89}">
      <text>
        <t>[Threaded comment]
Your version of Excel allows you to read this threaded comment; however, any edits to it will get removed if the file is opened in a newer version of Excel. Learn more: https://go.microsoft.com/fwlink/?linkid=870924
Comment:
    Equipamento alinhado com o Jean para colocar os cabos compatibilizadores , vamos só instalar o controle e o suporte</t>
      </text>
    </comment>
    <comment ref="A16" authorId="3" shapeId="0" xr:uid="{5E0A5B36-30BA-4785-9EC7-D9E59F1B16CE}">
      <text>
        <t>[Threaded comment]
Your version of Excel allows you to read this threaded comment; however, any edits to it will get removed if the file is opened in a newer version of Excel. Learn more: https://go.microsoft.com/fwlink/?linkid=870924
Comment:
    Equipamento não abre a tela de controle de sinais, Zenilson verificar.</t>
      </text>
    </comment>
    <comment ref="A20" authorId="4" shapeId="0" xr:uid="{2832532F-3601-467A-AD62-C3A497EF3F2F}">
      <text>
        <t>[Threaded comment]
Your version of Excel allows you to read this threaded comment; however, any edits to it will get removed if the file is opened in a newer version of Excel. Learn more: https://go.microsoft.com/fwlink/?linkid=870924
Comment:
    Equipamento fora de operação, baixada erroneamente pelo COCM.</t>
      </text>
    </comment>
    <comment ref="A25" authorId="5" shapeId="0" xr:uid="{59C5E8B4-950F-4728-A552-4F68E2A85566}">
      <text>
        <t>[Threaded comment]
Your version of Excel allows you to read this threaded comment; however, any edits to it will get removed if the file is opened in a newer version of Excel. Learn more: https://go.microsoft.com/fwlink/?linkid=870924
Comment:
    Joelson vai mandar uma equipe de campo ver</t>
      </text>
    </comment>
    <comment ref="H25" authorId="6" shapeId="0" xr:uid="{C67DE103-245C-480C-AFF1-8C8083938B75}">
      <text>
        <t>[Threaded comment]
Your version of Excel allows you to read this threaded comment; however, any edits to it will get removed if the file is opened in a newer version of Excel. Learn more: https://go.microsoft.com/fwlink/?linkid=870924
Comment:
    Conversar Com o Sandro Para Podermos mandar o e-mail para o Juridico</t>
      </text>
    </comment>
    <comment ref="I28" authorId="7" shapeId="0" xr:uid="{2058EF75-2506-49C6-943C-0BAF81E854D5}">
      <text>
        <t>[Threaded comment]
Your version of Excel allows you to read this threaded comment; however, any edits to it will get removed if the file is opened in a newer version of Excel. Learn more: https://go.microsoft.com/fwlink/?linkid=870924
Comment:
    21/08 Se a DB Machado for pro Sul</t>
      </text>
    </comment>
    <comment ref="A29" authorId="8" shapeId="0" xr:uid="{2A646E23-7359-4DAA-8D67-66CEB4A83557}">
      <text>
        <t>[Threaded comment]
Your version of Excel allows you to read this threaded comment; however, any edits to it will get removed if the file is opened in a newer version of Excel. Learn more: https://go.microsoft.com/fwlink/?linkid=870924
Comment:
    Equipamento não abre a tela de controle de sinais, Zenilson verificar.</t>
      </text>
    </comment>
    <comment ref="A39" authorId="9" shapeId="0" xr:uid="{B310DD81-FDB4-4F35-8D41-78710C9E81A3}">
      <text>
        <t xml:space="preserve">[Threaded comment]
Your version of Excel allows you to read this threaded comment; however, any edits to it will get removed if the file is opened in a newer version of Excel. Learn more: https://go.microsoft.com/fwlink/?linkid=870924
Comment:
    Foi redirecionado para priorizar o RL 7933726256 </t>
      </text>
    </comment>
    <comment ref="A42" authorId="10" shapeId="0" xr:uid="{4B850DF9-9D81-4FD5-8455-43E1F38C3E1F}">
      <text>
        <t>[Threaded comment]
Your version of Excel allows you to read this threaded comment; however, any edits to it will get removed if the file is opened in a newer version of Excel. Learn more: https://go.microsoft.com/fwlink/?linkid=870924
Comment:
    Paramos aqui</t>
      </text>
    </comment>
    <comment ref="A54" authorId="11" shapeId="0" xr:uid="{9AD85768-E606-4DBC-95DD-02B1E72530BC}">
      <text>
        <t>[Threaded comment]
Your version of Excel allows you to read this threaded comment; however, any edits to it will get removed if the file is opened in a newer version of Excel. Learn more: https://go.microsoft.com/fwlink/?linkid=870924
Comment:
    Confirmar informação de remanejamento inserida na SS.</t>
      </text>
    </comment>
    <comment ref="I61" authorId="12" shapeId="0" xr:uid="{F375E268-C2EA-4FF1-BEB3-31A2F451652F}">
      <text>
        <t>[Threaded comment]
Your version of Excel allows you to read this threaded comment; however, any edits to it will get removed if the file is opened in a newer version of Excel. Learn more: https://go.microsoft.com/fwlink/?linkid=870924
Comment:
    22/08 Se a DB Machado for pro Sul</t>
      </text>
    </comment>
    <comment ref="A62" authorId="13" shapeId="0" xr:uid="{CD0B1590-A453-4743-B7D1-8AF3FB367521}">
      <text>
        <t>[Threaded comment]
Your version of Excel allows you to read this threaded comment; however, any edits to it will get removed if the file is opened in a newer version of Excel. Learn more: https://go.microsoft.com/fwlink/?linkid=870924
Comment:
    Nota baixada erroneamente pelo DMSL, aguardando retorno da Lorrane.</t>
      </text>
    </comment>
    <comment ref="A71" authorId="14" shapeId="0" xr:uid="{535E2C4F-7CF7-4D1A-BED5-6155ADC108E2}">
      <text>
        <t>[Threaded comment]
Your version of Excel allows you to read this threaded comment; however, any edits to it will get removed if the file is opened in a newer version of Excel. Learn more: https://go.microsoft.com/fwlink/?linkid=870924
Comment:
    Verificar com a PROT sobre os ajustes, equipamento já em operação.</t>
      </text>
    </comment>
    <comment ref="L73" authorId="15" shapeId="0" xr:uid="{DC2E55DF-8169-487D-A11A-15E83A494C0F}">
      <text>
        <t>[Threaded comment]
Your version of Excel allows you to read this threaded comment; however, any edits to it will get removed if the file is opened in a newer version of Excel. Learn more: https://go.microsoft.com/fwlink/?linkid=870924
Comment:
    Artech</t>
      </text>
    </comment>
    <comment ref="L95" authorId="16" shapeId="0" xr:uid="{0325A06D-7BE0-4393-AAAC-8D5E8037A023}">
      <text>
        <t>[Threaded comment]
Your version of Excel allows you to read this threaded comment; however, any edits to it will get removed if the file is opened in a newer version of Excel. Learn more: https://go.microsoft.com/fwlink/?linkid=870924
Comment:
    Redirecionar tanque do 7955946007 
Reply:
    7955520116 - Redirecionar para esse</t>
      </text>
    </comment>
    <comment ref="A102" authorId="17" shapeId="0" xr:uid="{1E8F91FD-46BF-4C84-BBB2-1D5735B92A8E}">
      <text>
        <t>[Threaded comment]
Your version of Excel allows you to read this threaded comment; however, any edits to it will get removed if the file is opened in a newer version of Excel. Learn more: https://go.microsoft.com/fwlink/?linkid=870924
Comment:
    Nota baixada erroneamente pelo DMSL, aguardando retorno da Lorrane.</t>
      </text>
    </comment>
    <comment ref="A106" authorId="18" shapeId="0" xr:uid="{15EA5A79-A9E3-4B39-958F-C93A8E6CC1DA}">
      <text>
        <t>[Threaded comment]
Your version of Excel allows you to read this threaded comment; however, any edits to it will get removed if the file is opened in a newer version of Excel. Learn more: https://go.microsoft.com/fwlink/?linkid=870924
Comment:
    Equipamento em operação, necessário confirmar com o COCM Palmas</t>
      </text>
    </comment>
    <comment ref="L110" authorId="19" shapeId="0" xr:uid="{2AF65545-6B4E-4DD7-9198-31E0C1B096EA}">
      <text>
        <t>[Threaded comment]
Your version of Excel allows you to read this threaded comment; however, any edits to it will get removed if the file is opened in a newer version of Excel. Learn more: https://go.microsoft.com/fwlink/?linkid=870924
Comment:
    Tanque de Caseara e o Controle do Estoque Sono</t>
      </text>
    </comment>
    <comment ref="H113" authorId="20" shapeId="0" xr:uid="{255CB460-5F6C-4BF8-8027-E4F6AD6F6B58}">
      <text>
        <t>[Threaded comment]
Your version of Excel allows you to read this threaded comment; however, any edits to it will get removed if the file is opened in a newer version of Excel. Learn more: https://go.microsoft.com/fwlink/?linkid=870924
Comment:
    Tenho um Controle ou consigo reaproveitar o tanque em outro, dependendo da criticidade</t>
      </text>
    </comment>
    <comment ref="A130" authorId="21" shapeId="0" xr:uid="{D704E761-0AD8-4A99-B919-33F6BAC9A363}">
      <text>
        <t>[Threaded comment]
Your version of Excel allows you to read this threaded comment; however, any edits to it will get removed if the file is opened in a newer version of Excel. Learn more: https://go.microsoft.com/fwlink/?linkid=870924
Comment:
    Linha viva substituiu a CH danificada, confirmar com o Zenilson se esta em operação.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tc={FA3BD34B-2A07-467F-8B11-22E1D1AB5C33}</author>
    <author>tc={15DCDDF5-AEE2-4B96-AD0E-11D15B25A282}</author>
    <author>tc={6D07E0F6-4DF0-4ADE-9949-3A718B5AFBAE}</author>
    <author>tc={D5B2FBD9-7E55-4394-8714-701EBCC35144}</author>
    <author>tc={B1C788A8-7A79-44EE-A54B-CBC5AFDBD9F4}</author>
    <author>tc={92D052E1-98AB-486D-9A79-11DA2A2DACF3}</author>
    <author>tc={E8206474-6697-48E9-A31E-69138945C5CA}</author>
    <author>tc={0041C59C-F9F9-4C83-993D-D122C9399368}</author>
    <author>tc={72850F46-6F99-4AE9-AA9C-0D35C56ACC60}</author>
    <author>tc={390B3EE9-C964-4BBF-8A8C-EF83FE61AE2A}</author>
    <author>tc={824C3832-6F9A-4886-A556-58C556E545B8}</author>
    <author>tc={9EFFF02E-E71A-4EAA-B7B0-BDEC52ED4DEF}</author>
    <author>tc={08741313-3F60-4F2B-856E-7E8FFB04A879}</author>
    <author>tc={A5CAD942-B372-4B9A-8A2D-F37251F74BF3}</author>
    <author>tc={272641DD-DFB7-4672-8214-D86F06479939}</author>
    <author>tc={6F55BA77-480E-40E4-B08D-D74D81B7284E}</author>
    <author>tc={D0D64B82-4998-4C28-9AD4-CD7B13F39588}</author>
    <author>tc={60FB343E-7068-4516-969E-F4791E8E04F1}</author>
    <author>tc={715334F1-1F6D-435D-BF76-109CE1206DB1}</author>
    <author>tc={C907F8D6-B9B1-4147-8FED-064820BD0B3A}</author>
    <author>tc={E94CBFE0-6B9E-4BC2-A75F-87CF5CC98DEC}</author>
    <author>tc={87BE34AA-9A33-499D-A2AA-B55D8E797EF8}</author>
  </authors>
  <commentList>
    <comment ref="A4" authorId="0" shapeId="0" xr:uid="{FA3BD34B-2A07-467F-8B11-22E1D1AB5C33}">
      <text>
        <t>[Threaded comment]
Your version of Excel allows you to read this threaded comment; however, any edits to it will get removed if the file is opened in a newer version of Excel. Learn more: https://go.microsoft.com/fwlink/?linkid=870924
Comment:
    Equipamento alinhado com o Jean para colocar os cabos compatibilizadores , vamos só instalar o controle e o suporte</t>
      </text>
    </comment>
    <comment ref="J6" authorId="1" shapeId="0" xr:uid="{15DCDDF5-AEE2-4B96-AD0E-11D15B25A282}">
      <text>
        <t>[Threaded comment]
Your version of Excel allows you to read this threaded comment; however, any edits to it will get removed if the file is opened in a newer version of Excel. Learn more: https://go.microsoft.com/fwlink/?linkid=870924
Comment:
    Artech</t>
      </text>
    </comment>
    <comment ref="J7" authorId="2" shapeId="0" xr:uid="{6D07E0F6-4DF0-4ADE-9949-3A718B5AFBAE}">
      <text>
        <t>[Threaded comment]
Your version of Excel allows you to read this threaded comment; however, any edits to it will get removed if the file is opened in a newer version of Excel. Learn more: https://go.microsoft.com/fwlink/?linkid=870924
Comment:
    Redirecionar tanque do 7955946007 
Reply:
    7955520116 - Redirecionar para esse</t>
      </text>
    </comment>
    <comment ref="J10" authorId="3" shapeId="0" xr:uid="{D5B2FBD9-7E55-4394-8714-701EBCC35144}">
      <text>
        <t>[Threaded comment]
Your version of Excel allows you to read this threaded comment; however, any edits to it will get removed if the file is opened in a newer version of Excel. Learn more: https://go.microsoft.com/fwlink/?linkid=870924
Comment:
    Tanque de Caseara e o Controle do Estoque Sono</t>
      </text>
    </comment>
    <comment ref="H11" authorId="4" shapeId="0" xr:uid="{B1C788A8-7A79-44EE-A54B-CBC5AFDBD9F4}">
      <text>
        <t>[Threaded comment]
Your version of Excel allows you to read this threaded comment; however, any edits to it will get removed if the file is opened in a newer version of Excel. Learn more: https://go.microsoft.com/fwlink/?linkid=870924
Comment:
    21/08 Se a DB Machado for pro Sul</t>
      </text>
    </comment>
    <comment ref="H16" authorId="5" shapeId="0" xr:uid="{92D052E1-98AB-486D-9A79-11DA2A2DACF3}">
      <text>
        <t>[Threaded comment]
Your version of Excel allows you to read this threaded comment; however, any edits to it will get removed if the file is opened in a newer version of Excel. Learn more: https://go.microsoft.com/fwlink/?linkid=870924
Comment:
    22/08 Se a DB Machado for pro Sul</t>
      </text>
    </comment>
    <comment ref="A26" authorId="6" shapeId="0" xr:uid="{E8206474-6697-48E9-A31E-69138945C5CA}">
      <text>
        <t xml:space="preserve">[Threaded comment]
Your version of Excel allows you to read this threaded comment; however, any edits to it will get removed if the file is opened in a newer version of Excel. Learn more: https://go.microsoft.com/fwlink/?linkid=870924
Comment:
    Foi redirecionado para priorizar o RL 7933726256 </t>
      </text>
    </comment>
    <comment ref="A34" authorId="7" shapeId="0" xr:uid="{0041C59C-F9F9-4C83-993D-D122C9399368}">
      <text>
        <t>[Threaded comment]
Your version of Excel allows you to read this threaded comment; however, any edits to it will get removed if the file is opened in a newer version of Excel. Learn more: https://go.microsoft.com/fwlink/?linkid=870924
Comment:
    Equipamento alinhado com o Jean para colocar os cabos compatibilizadores</t>
      </text>
    </comment>
    <comment ref="A39" authorId="8" shapeId="0" xr:uid="{72850F46-6F99-4AE9-AA9C-0D35C56ACC60}">
      <text>
        <t>[Threaded comment]
Your version of Excel allows you to read this threaded comment; however, any edits to it will get removed if the file is opened in a newer version of Excel. Learn more: https://go.microsoft.com/fwlink/?linkid=870924
Comment:
    Joelson vai mandar uma equipe de campo ver</t>
      </text>
    </comment>
    <comment ref="G39" authorId="9" shapeId="0" xr:uid="{390B3EE9-C964-4BBF-8A8C-EF83FE61AE2A}">
      <text>
        <t>[Threaded comment]
Your version of Excel allows you to read this threaded comment; however, any edits to it will get removed if the file is opened in a newer version of Excel. Learn more: https://go.microsoft.com/fwlink/?linkid=870924
Comment:
    Conversar Com o Sandro Para Podermos mandar o e-mail para o Juridico</t>
      </text>
    </comment>
    <comment ref="G44" authorId="10" shapeId="0" xr:uid="{824C3832-6F9A-4886-A556-58C556E545B8}">
      <text>
        <t>[Threaded comment]
Your version of Excel allows you to read this threaded comment; however, any edits to it will get removed if the file is opened in a newer version of Excel. Learn more: https://go.microsoft.com/fwlink/?linkid=870924
Comment:
    Ocorreu simultaneo era caso de furto</t>
      </text>
    </comment>
    <comment ref="A56" authorId="11" shapeId="0" xr:uid="{9EFFF02E-E71A-4EAA-B7B0-BDEC52ED4DEF}">
      <text>
        <t>[Threaded comment]
Your version of Excel allows you to read this threaded comment; however, any edits to it will get removed if the file is opened in a newer version of Excel. Learn more: https://go.microsoft.com/fwlink/?linkid=870924
Comment:
    Nota baixada erroneamente pelo DMSL, aguardando retorno da Lorrane.</t>
      </text>
    </comment>
    <comment ref="A67" authorId="12" shapeId="0" xr:uid="{08741313-3F60-4F2B-856E-7E8FFB04A879}">
      <text>
        <t>[Threaded comment]
Your version of Excel allows you to read this threaded comment; however, any edits to it will get removed if the file is opened in a newer version of Excel. Learn more: https://go.microsoft.com/fwlink/?linkid=870924
Comment:
    Verificar com a PROT sobre os ajustes, equipamento já em operação.</t>
      </text>
    </comment>
    <comment ref="A71" authorId="13" shapeId="0" xr:uid="{A5CAD942-B372-4B9A-8A2D-F37251F74BF3}">
      <text>
        <t>[Threaded comment]
Your version of Excel allows you to read this threaded comment; however, any edits to it will get removed if the file is opened in a newer version of Excel. Learn more: https://go.microsoft.com/fwlink/?linkid=870924
Comment:
    Equipamento em operação, necessário confirmar com o COCM Palmas</t>
      </text>
    </comment>
    <comment ref="A74" authorId="14" shapeId="0" xr:uid="{272641DD-DFB7-4672-8214-D86F06479939}">
      <text>
        <t>[Threaded comment]
Your version of Excel allows you to read this threaded comment; however, any edits to it will get removed if the file is opened in a newer version of Excel. Learn more: https://go.microsoft.com/fwlink/?linkid=870924
Comment:
    Linha viva substituiu a CH danificada, confirmar com o Zenilson se esta em operação.</t>
      </text>
    </comment>
    <comment ref="A79" authorId="15" shapeId="0" xr:uid="{6F55BA77-480E-40E4-B08D-D74D81B7284E}">
      <text>
        <t>[Threaded comment]
Your version of Excel allows you to read this threaded comment; however, any edits to it will get removed if the file is opened in a newer version of Excel. Learn more: https://go.microsoft.com/fwlink/?linkid=870924
Comment:
    Equipamento fora de operação, baixada erroneamente pelo COCM.</t>
      </text>
    </comment>
    <comment ref="A82" authorId="16" shapeId="0" xr:uid="{D0D64B82-4998-4C28-9AD4-CD7B13F39588}">
      <text>
        <t>[Threaded comment]
Your version of Excel allows you to read this threaded comment; however, any edits to it will get removed if the file is opened in a newer version of Excel. Learn more: https://go.microsoft.com/fwlink/?linkid=870924
Comment:
    Confirmar informação de remanejamento inserida na SS.</t>
      </text>
    </comment>
    <comment ref="A93" authorId="17" shapeId="0" xr:uid="{60FB343E-7068-4516-969E-F4791E8E04F1}">
      <text>
        <t>[Threaded comment]
Your version of Excel allows you to read this threaded comment; however, any edits to it will get removed if the file is opened in a newer version of Excel. Learn more: https://go.microsoft.com/fwlink/?linkid=870924
Comment:
    Nota baixada erroneamente pelo DMSL, aguardando retorno da Lorrane.</t>
      </text>
    </comment>
    <comment ref="A97" authorId="18" shapeId="0" xr:uid="{715334F1-1F6D-435D-BF76-109CE1206DB1}">
      <text>
        <t>[Threaded comment]
Your version of Excel allows you to read this threaded comment; however, any edits to it will get removed if the file is opened in a newer version of Excel. Learn more: https://go.microsoft.com/fwlink/?linkid=870924
Comment:
    Equipamento não abre a tela de controle de sinais, Zenilson verificar.</t>
      </text>
    </comment>
    <comment ref="A102" authorId="19" shapeId="0" xr:uid="{C907F8D6-B9B1-4147-8FED-064820BD0B3A}">
      <text>
        <t>[Threaded comment]
Your version of Excel allows you to read this threaded comment; however, any edits to it will get removed if the file is opened in a newer version of Excel. Learn more: https://go.microsoft.com/fwlink/?linkid=870924
Comment:
    Equipamento não abre a tela de controle de sinais, Zenilson verificar.</t>
      </text>
    </comment>
    <comment ref="A104" authorId="20" shapeId="0" xr:uid="{E94CBFE0-6B9E-4BC2-A75F-87CF5CC98DEC}">
      <text>
        <t>[Threaded comment]
Your version of Excel allows you to read this threaded comment; however, any edits to it will get removed if the file is opened in a newer version of Excel. Learn more: https://go.microsoft.com/fwlink/?linkid=870924
Comment:
    Paramos aqui</t>
      </text>
    </comment>
    <comment ref="G110" authorId="21" shapeId="0" xr:uid="{87BE34AA-9A33-499D-A2AA-B55D8E797EF8}">
      <text>
        <t>[Threaded comment]
Your version of Excel allows you to read this threaded comment; however, any edits to it will get removed if the file is opened in a newer version of Excel. Learn more: https://go.microsoft.com/fwlink/?linkid=870924
Comment:
    Tenho um Controle ou consigo reaproveitar o tanque em outro, dependendo da criticidade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tc={DF772875-8A42-4BAA-AFB3-6FFE8C3AB7EB}</author>
  </authors>
  <commentList>
    <comment ref="B14" authorId="0" shapeId="0" xr:uid="{DF772875-8A42-4BAA-AFB3-6FFE8C3AB7EB}">
      <text>
        <t>[Threaded comment]
Your version of Excel allows you to read this threaded comment; however, any edits to it will get removed if the file is opened in a newer version of Excel. Learn more: https://go.microsoft.com/fwlink/?linkid=870924
Comment:
    02125725
Reply:
    17/07/2026</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119C98-B38C-4879-9A70-4A9FB72408C1}" keepAlive="1" name="Consulta - Concluídas" description="Conexão com a consulta 'Concluídas' na pasta de trabalho." type="5" refreshedVersion="8" background="1" saveData="1">
    <dbPr connection="Provider=Microsoft.Mashup.OleDb.1;Data Source=$Workbook$;Location=Concluídas;Extended Properties=&quot;&quot;" command="SELECT * FROM [Concluídas]"/>
  </connection>
  <connection id="2" xr16:uid="{8CBBA375-42DC-4BE9-AE7B-8E9721924E16}" keepAlive="1" name="Consulta - Localidades" description="Conexão com a consulta 'Localidades' na pasta de trabalho." type="5" refreshedVersion="8" background="1" saveData="1">
    <dbPr connection="Provider=Microsoft.Mashup.OleDb.1;Data Source=$Workbook$;Location=Localidades;Extended Properties=&quot;&quot;" command="SELECT * FROM [Localidades]"/>
  </connection>
  <connection id="3" xr16:uid="{D51265C0-A74B-4CFC-83FE-479C8A514C75}" keepAlive="1" name="Consulta - Pendentes" description="Conexão com a consulta 'Pendentes' na pasta de trabalho." type="5" refreshedVersion="8" background="1" saveData="1">
    <dbPr connection="Provider=Microsoft.Mashup.OleDb.1;Data Source=$Workbook$;Location=Pendentes;Extended Properties=&quot;&quot;" command="SELECT * FROM [Pendentes]"/>
  </connection>
  <connection id="4" xr16:uid="{7061224A-39BD-48A6-8A1C-47547A22151D}" keepAlive="1" name="Consulta - Premissas por Equipamento" description="Conexão com a consulta 'Premissas por Equipamento' na pasta de trabalho." type="5" refreshedVersion="8" background="1" saveData="1">
    <dbPr connection="Provider=Microsoft.Mashup.OleDb.1;Data Source=$Workbook$;Location=&quot;Premissas por Equipamento&quot;;Extended Properties=&quot;&quot;" command="SELECT * FROM [Premissas por Equipamento]"/>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<sst xmlns="http://schemas.openxmlformats.org/spreadsheetml/2006/main" count="8193" uniqueCount="1468">
  <si>
    <t>DESTINO_SS</t>
  </si>
  <si>
    <t>(Vários itens)</t>
  </si>
  <si>
    <t>Criticidade</t>
  </si>
  <si>
    <t>Quantidade</t>
  </si>
  <si>
    <t>Total</t>
  </si>
  <si>
    <t>RL</t>
  </si>
  <si>
    <t>RT</t>
  </si>
  <si>
    <t>Qtd</t>
  </si>
  <si>
    <t>Cód</t>
  </si>
  <si>
    <t>Muito Alta</t>
  </si>
  <si>
    <t>58</t>
  </si>
  <si>
    <t>79</t>
  </si>
  <si>
    <t>Total Geral</t>
  </si>
  <si>
    <t>Alta</t>
  </si>
  <si>
    <t>Média</t>
  </si>
  <si>
    <t>Baixa</t>
  </si>
  <si>
    <t>Em definição</t>
  </si>
  <si>
    <t>ANO_SS</t>
  </si>
  <si>
    <t>SS_ORIGINAL</t>
  </si>
  <si>
    <t>COD_RELIGADOR</t>
  </si>
  <si>
    <t>TIPO</t>
  </si>
  <si>
    <t>DTA_ABERTURA</t>
  </si>
  <si>
    <t>COD_LOC</t>
  </si>
  <si>
    <t>LOCALIDADE</t>
  </si>
  <si>
    <t>POLO</t>
  </si>
  <si>
    <t>REGIONAL</t>
  </si>
  <si>
    <t>ALIMENTADOR</t>
  </si>
  <si>
    <t>DESCRICAO</t>
  </si>
  <si>
    <t>Premissa 1</t>
  </si>
  <si>
    <t>Premissa 2</t>
  </si>
  <si>
    <t>Premissa 3</t>
  </si>
  <si>
    <t>Premissa 4</t>
  </si>
  <si>
    <t>Premissa 5</t>
  </si>
  <si>
    <t>Premissa 6</t>
  </si>
  <si>
    <t>Premissa 7</t>
  </si>
  <si>
    <t>Premissa 8</t>
  </si>
  <si>
    <t>Priorização</t>
  </si>
  <si>
    <t>Observação após análise</t>
  </si>
  <si>
    <t>ETO-RD-PO 00213/2026</t>
  </si>
  <si>
    <t>ETO-RD-PO</t>
  </si>
  <si>
    <t>SILVANOPOLIS</t>
  </si>
  <si>
    <t>PORTO NACIONAL</t>
  </si>
  <si>
    <t>CENTRO</t>
  </si>
  <si>
    <t>LD02072001</t>
  </si>
  <si>
    <t>22/07/2026 PARECER COEP: EQUIPAMENTO ENTREGUE AOS COCM´SPRAZO DE 7 DIAS CONTANDO O SLA.PARECER COEP: EQUIPAMENTO ENTREGUE AOS COCM´S FAVOR SUSBSTTUIR , E AGUARDO O PRAZO DE PREVISÃO DE SUBSTIUIÇÃOboa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t>
  </si>
  <si>
    <t>-</t>
  </si>
  <si>
    <t>Aumento de reclamações no atendimento de Silvanópolis por Porto Nacional no período seco (Outra fonte com defeito também)</t>
  </si>
  <si>
    <t>ETO-RD-GR 00735/2026</t>
  </si>
  <si>
    <t>ETO-RD-GR</t>
  </si>
  <si>
    <t>TUPIRAMA</t>
  </si>
  <si>
    <t>GUARAI</t>
  </si>
  <si>
    <t>NORTE</t>
  </si>
  <si>
    <t>AL01065015</t>
  </si>
  <si>
    <t>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ARAPOEMAPEÇA ENVIADA: CONTROLEPARECER DMSL: *FEEDBACK EQUIP. ESPECIAIS**Nº DO EQUIPAMENTO:* 5800859011*TIPO EQUIPAMENTO:* RT ITB *TIPO DE COMUNICAÇÃO:* Não *DATA DA MANUTENÇÃO:* 09/06/2026*SID:* 3195/2026*DESCRIÇÃO:* _ Foi identificado relé da fase C com defeito conforme orientação da supervisão e necessário realiza retrofit para instalação de controle rua.*FICOU EM OPERAÇÃO* Não*PENDÊNCIA:* Realizado Retrofit *DADOS DIVERGENTES DA PROGRAMAÇÃO:* Não*BATERIA SUBSTITUÍDA?:* Não*TIPO DE BATERIA:**EQUIPE:* Edeglan e Brunno.Observação: trocar por um controle RUA.------------------------------------------------------------------------------------------Enviar equipe do DMSL, para  fazer correção no RT 5800859011, o mesmo está com o displey da fase C apagado , dificutando  realizar  manobras no mesmo, emvirtude  disso o mesmo ficou BAY PASSADO EM CAMPO</t>
  </si>
  <si>
    <t>Atendimento de parte da RDU Guaraí por fonte alternativa</t>
  </si>
  <si>
    <t>ETO-COEP 00124/2026</t>
  </si>
  <si>
    <t>ETO-COEP</t>
  </si>
  <si>
    <t>ARAGUAINA</t>
  </si>
  <si>
    <t>AL04010004</t>
  </si>
  <si>
    <t>PARECER COEP: Verificar Disponibilidade de equipamento no Scada e enviar modelo e tensão para a compra.RELIGADOR COM RELÉ DANIFICADO, REALIZAR SUBSTITUIÇÃO</t>
  </si>
  <si>
    <t>Transferência de cargas na RDU de Araguaína (2797 UCs)</t>
  </si>
  <si>
    <t>ETO-COEP 00040/2026</t>
  </si>
  <si>
    <t>TAQUARALTO</t>
  </si>
  <si>
    <t>AL05099059</t>
  </si>
  <si>
    <t>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t>
  </si>
  <si>
    <t>Transferência dos bairros Morada do Sol, Vale do Sol, Morada do Sol II, Nova Esperança, Sõa João, Araras I e II e Jardim Laila em Taquaralto (6033 UCs)</t>
  </si>
  <si>
    <t>ETO-TELE 01025/2026</t>
  </si>
  <si>
    <t>ETO-TELE</t>
  </si>
  <si>
    <t>PALMAS</t>
  </si>
  <si>
    <t>AL08060122</t>
  </si>
  <si>
    <t>PARECER DA PROTEÇÃO:FAVOR COMISSIONAR RELIGADOR. AJUSTES PERMANECEM OS MESMOS E DISPONÍVEIS NO APP DA PROTEÇÃO.Estagiário Rafael P Marques.******************30/06 PARECER COEP: EQUIPAMENTO ENTREGUE, SEGUE SS PARA O COCM´S , PARA REALIZAR O ATENDIMENTO,FAVOR ADICIONAR O PARECER PARA MANDAR PARA PROTEÇÃOBom dia,Segue SS para verificação RL sem comunicação com painel apagado equipe DEOP fez primeiro ataque sem sucesso RL 7931610122 RDU de Palmas.Feedback Equipamentos Especiais DMSL: *RLG 7931610122 RDU Palmas*Noja rc10 Data: 14/10/2025SID: 5412Dados de comunicação divergentes da programação: Não. Serviço Executado: Houve um curto no equipamento danificando a parte ativa, e antena! Será necessário fazer a substituição somente da parte ativa (tanque) e da antena.Equipamento ficou em operação?: Não Pendência: Sim, substituir a parte ativa.Bateria(s) substituída(s)?: NãoData Fabricação/Instalação da(s) bateria(s): 2024Equipe: Benvindo, Juliano e Sérgio.***** Parecer do COCM CENTRO*****Equipamento Substituido em campo pela Ordem de ServiÇO DLP-MPPA01 243/2026, ONDE OS RELATORIO ESTÃO ANEXADO.--------------------------------------------------------Parecer DMSL:Equipamento substituído porém não informado se antena também foi substituída. Levar antena para caso da mesmo não ter sido substituída.</t>
  </si>
  <si>
    <t>Transferência entre 284R SE Palmas IV e 2294R SE Palmas II</t>
  </si>
  <si>
    <t>ETO-RD-DP 00479/2026</t>
  </si>
  <si>
    <t>ETO-RD-DP</t>
  </si>
  <si>
    <t>ALMAS</t>
  </si>
  <si>
    <t>DIANOPOLIS</t>
  </si>
  <si>
    <t>SUL</t>
  </si>
  <si>
    <t>LD04002091</t>
  </si>
  <si>
    <t>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t>
  </si>
  <si>
    <t>Atendimento da região da Engegold, Nativa, cidade Natividade e Chapada da Natividade</t>
  </si>
  <si>
    <t>ETO-COEP 00131/2026</t>
  </si>
  <si>
    <t>RIO SONO</t>
  </si>
  <si>
    <t>LD02424015</t>
  </si>
  <si>
    <t>13/07 PARECER COEP: SELECIONADO PARA COMPRA CONTROLE 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t>
  </si>
  <si>
    <t>Transferência da RDU de Lizarda (1650 UCs) para fonte alternativa</t>
  </si>
  <si>
    <t>ETO-RD-DP 00409/2026</t>
  </si>
  <si>
    <t>AURORA DO TOCANTINS</t>
  </si>
  <si>
    <t>AL01015049</t>
  </si>
  <si>
    <t>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t>
  </si>
  <si>
    <t>Proteção da baixa do TF de força da SE Aurora</t>
  </si>
  <si>
    <t>ETO-COEP 00059/2026</t>
  </si>
  <si>
    <t>GOIANORTE</t>
  </si>
  <si>
    <t>LD02022033</t>
  </si>
  <si>
    <t>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t>
  </si>
  <si>
    <t>Transferência de Goianorte, fonte principal operando</t>
  </si>
  <si>
    <t>ETO-PROT 00154/2026</t>
  </si>
  <si>
    <t>ETO-PROT</t>
  </si>
  <si>
    <t>PARAISO DO TOCANTINS</t>
  </si>
  <si>
    <t>AL01062013</t>
  </si>
  <si>
    <t>15/07 PARECER COCM: EQUIPAMENTO FOI SUBSTITUÍDO OBRA 021260042210/07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t>
  </si>
  <si>
    <t>Transferência do 214R de Paraíso I, Centro Comercial de Paraíso</t>
  </si>
  <si>
    <t>ETO-COEP 00120/2026</t>
  </si>
  <si>
    <t>BABACULANDIA</t>
  </si>
  <si>
    <t>LD05010004</t>
  </si>
  <si>
    <t>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t>
  </si>
  <si>
    <t>Transferência de Babaçulândia, fonte principal operando</t>
  </si>
  <si>
    <t>ETO-PROT 00145/2026</t>
  </si>
  <si>
    <t>MATEIROS</t>
  </si>
  <si>
    <t>PONTE ALTA TOCANTINS</t>
  </si>
  <si>
    <t>LD03046026</t>
  </si>
  <si>
    <t>07/07 Equipamento foi substituido na OS: ETO-RD-PO 1859/2026 OBRA 031260035101/07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t>
  </si>
  <si>
    <t>Transferência da cidade de Mateiros (733 UCs) para o gerador</t>
  </si>
  <si>
    <t>ETO-TELE 01024/2026</t>
  </si>
  <si>
    <t>AL01099059</t>
  </si>
  <si>
    <t>PARECER DA PROTEÇÃO:RECOMISSIONAR RELIGADOR, AJUSTES DE PROTEÇÃO PERMANECEM OS MESMOS.Estagiário Rafael P Marques****************************PARECER COEP: EQUIPAMENTO ENTREGUE, SEGUE SS PARA O COCM´S , PARA REALIZAR O ATENDIMENTO,FAVOR ADICIONAR O PARECER PARA MANDAR PARA PROTEÇÃOSegue SS para verficar religador de poste 7933766059.Religador esta com defeito na parte ativa no tanque Porte gentilezaenviar equipe verificar.Endereço: TaquariPARECER DMSL: RLG 7933766059 RELÉ NOJA RC 10Mestre 2 Rep. taquaruçu GESID: 5457/2025Data: 15/10/2025Serviço Executado: Houve um curto na parte ativa do equipamento danificando a mesma, será necessário fazer a substituição somente do tanque, parte ativa.*Equipamento ficou em operação?:*Nao Pendência: Sim, substituir parte ativa.Equipe: Benvindo, Juliano e Sérgio.****** Parecer do COCM Centro***Equipámento Substituido em Campo pela Ordem de ServIÇO DLP-MPPA01 244/2026, ONDE OS RELATORIO ESTÃO ANEXADO..</t>
  </si>
  <si>
    <t>Seccionamento de trecho do Setor Taquari</t>
  </si>
  <si>
    <t>ETO-SE-PA 00107/2026</t>
  </si>
  <si>
    <t>ETO-SE-PA</t>
  </si>
  <si>
    <t>PARECER DA PROTEÇÃO:16/07/2026 AJUSTES DISPONIBILIZADOS NO APP DA PROTEÇÃO15/07/2026 EQUIPAMENTO SUBSTITUIDO NA OS ETO-RD-PO 1860 OBRA 031260035414/07/2026 PARECER COCM/ COEP: DE ACORDO COM O EDSON CURCINO FOI FEITA S SUBSTITUIÇÃO DO EQUIPAMENTO , SEGUE PARA PROTEÇÃO ELABORAR AJUSTE10/07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t>
  </si>
  <si>
    <t>Religador responsável pela proteção da barra da SE Ponte Alta (2381 UCs)</t>
  </si>
  <si>
    <t>ETO-COEP 00141/2026</t>
  </si>
  <si>
    <t>LD01072001</t>
  </si>
  <si>
    <t>22/07/2026 EQUIPAMENTO SLEECIONADO PARA COMPRAPARECER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t>
  </si>
  <si>
    <t>Transferência do Distrito Ind de Porto Nacional e GAs</t>
  </si>
  <si>
    <t>ETO-RD-PS 00302/2026</t>
  </si>
  <si>
    <t>ETO-RD-PS</t>
  </si>
  <si>
    <t>PIUM</t>
  </si>
  <si>
    <t>LD02025012</t>
  </si>
  <si>
    <t>10/07 PARECER COEP: EQUIPAMENTO ENTREGUE AOS COCM´S FAVOR INFORMAR PRAZO DE SUBSTUIÇÃO PARA O DMSL E REPASSAR DEPOIS PARA PROTEÇÃO REALIZAR OS AJUSTES E DESCREVER NA SS O SERVIÇO REALIZADO06/07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t>
  </si>
  <si>
    <t>Fonte principal de Pium, RL de transferência operando</t>
  </si>
  <si>
    <t>ETO-TELE 00896/2026</t>
  </si>
  <si>
    <t>ESPERANTINA</t>
  </si>
  <si>
    <t>AUGUSTINOPOLIS</t>
  </si>
  <si>
    <t>LD02109039</t>
  </si>
  <si>
    <t>PARECER DCMD:Serviço realizado , substituição da parte ativa  do RELIGADOR 7943790134 - Favor realizar comissionamento</t>
  </si>
  <si>
    <t>Transferência de Esperantina, fonte principal operando</t>
  </si>
  <si>
    <t>ETO-COEP 00087/2026</t>
  </si>
  <si>
    <t>SANTA RITA DO TOCANTINS</t>
  </si>
  <si>
    <t>LD03040003</t>
  </si>
  <si>
    <t>10/07/2026 EQUIPAMENTO SELECIONADO PARA COMPRA PARTE ATIVA30/06.PARECER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t>
  </si>
  <si>
    <t>Transferência de Santa Rita, fonte principal operando</t>
  </si>
  <si>
    <t>ETO-COEP 00143/2026</t>
  </si>
  <si>
    <t>PARECER DMSL: Análise técnica realizada. Constatado que o equipamento está em Bypass. Foi aberta nota para substituição da parte ativa,  abri nota para substituir completo  o equipamento</t>
  </si>
  <si>
    <t>ETO-COEP 00048/2026</t>
  </si>
  <si>
    <t>GOIATINS</t>
  </si>
  <si>
    <t>LD03105019</t>
  </si>
  <si>
    <t>30/06 PARECER COEP: AGUARDANDO RETORNO DO DMSLPARECER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t>
  </si>
  <si>
    <t>Transferência de Goiatins e GAs (2492 UCs)</t>
  </si>
  <si>
    <t>ETO-COEP 00149/2026</t>
  </si>
  <si>
    <t>AL01102271</t>
  </si>
  <si>
    <t>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t>
  </si>
  <si>
    <t>Em caso de perca da fonte principal é necessário esse RT para alimentação da Frísia</t>
  </si>
  <si>
    <t>ETO-PROT 00143/2026</t>
  </si>
  <si>
    <t>PALMEIRANTE</t>
  </si>
  <si>
    <t>COLINAS DO TOCANTINS</t>
  </si>
  <si>
    <t>LD02105019</t>
  </si>
  <si>
    <t>07/07/2026 PARECER COEP: MATERIAL ENVIADO , CONFORME ALINHANDO COM O WANDER REALIZAR SUBSTIUIÇÂO DO EQUIPAMENTO, FAVOR ESCREVER PARECER COCM ANTES DE PASSAR PARA PROTEÇÂO, DO QUE FOI REALIZADO01/07/2026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pendencias.Senhores Favor verificar RL 7900230155  o mesmo sinalizou aberto  no SCADA porem a cidade de Palmeirante estava normal , feito um reset no rl e o mesmo subiu fechado.08/07/2026 PARECER DCMD: EQUIPE ETO-LVGR01  DE GUARAI ESTEVE NO RL 7900230155 DIA 25-06-2026 E FEZ TODAS A PENDENCIAS DO RL, OBS: EQUIPE SO NAO CONECTOU O CABO DO TRAFO NO RL. RL ESTA PRONTO PARA O COMISSIONAMENTO</t>
  </si>
  <si>
    <t>Fonte principal de Palmeirante, RL de transferência operando</t>
  </si>
  <si>
    <t>ETO-TELE 00997/2026</t>
  </si>
  <si>
    <t>RL teve nota baixada (ETO-TELE 970/2026) pore´m eqp continua fora de operação, solicito programação para equipe verificar em campo</t>
  </si>
  <si>
    <t>Isolação de trecho e transferência das cidades de São Felix e Mateiros para gerador, além de atendimento de clientes rurais</t>
  </si>
  <si>
    <t>ETO-RD-GR 00766/2026</t>
  </si>
  <si>
    <t>ARAPOEMA</t>
  </si>
  <si>
    <t>LD02010153</t>
  </si>
  <si>
    <t>16/07/2026 PARECER COEP: ALINHADO COM O KELLITON REALIZAR SUBSTITUIÇÃO DO CONTROLE DE TUPIRAMA, ALINHADO COM O JEAN QUE OS CABOS COMPATIBILIZADORES VÃO CHEGAR 16/08 , ATÉ ESSA DATA MANTER ESSA SS E CONTROLE RUA, DEPOIS REPASSAR PARA O DMSLPARECER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t>
  </si>
  <si>
    <t>Aumento de reclamações no atendimento de Arapoema no período seco</t>
  </si>
  <si>
    <t>ETO-PROT 00144/2026</t>
  </si>
  <si>
    <t>CENTENARIO</t>
  </si>
  <si>
    <t>LD01065015</t>
  </si>
  <si>
    <t>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PROTEÇÃO:FAVOR COMISSIONAR REGULADOR 5865120195 – LD Santa Maria Ramal Centenário e Recursolândia – 34,5kV. AJUSTE REALIZADO, DISPONÍVEL NO APP DA PROTEÇÃO.*********************** INSTALADO NA OBRA 0702400720 GENTILEZA, REALIZAR O COMISSIONAMENTO.LAUDO EM ANEXO.COORD EO: 889017, 901685708-07-2026 PARECER: FOI FEITO A MELHORIA NO REGULADOR CONFORME FOTOS EM ANEXO.</t>
  </si>
  <si>
    <t>Atendimento das RDUs de Centenário, Recursolândia e clientes rurais</t>
  </si>
  <si>
    <t>ETO-COEP 00078/2026</t>
  </si>
  <si>
    <t>LD03062013</t>
  </si>
  <si>
    <t>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t>
  </si>
  <si>
    <t>Transferência da RDU de Chapada de Areia (937 UCs) para fonte alternativa</t>
  </si>
  <si>
    <t>ETO-PROT 00152/2026</t>
  </si>
  <si>
    <t>PARANA</t>
  </si>
  <si>
    <t>PEIXE</t>
  </si>
  <si>
    <t>LD01010021</t>
  </si>
  <si>
    <t>10/07 PARECER COEP: EQUIPAMENTO ENTREGUE AOS COCM´S FAVOR INFORMAR PRAZO DE SUBSTUIÇÃO PARA O DMSL E REPASSAR DEPOIS PARA PROTEÇÃO REALIZAR OS AJUSTES E DESCREVER NA SS O SERVIÇO REALIZADOPARECER COEP: EM ROTA DE ENTREGA, VERIFICAR PREVISÃO DE CHEGADARealizar a substituição do tanque do equipamento.</t>
  </si>
  <si>
    <t>Primeiro RL do 414R de Paranã, RL a jusante na LD também está bay-passado (630 UCs)</t>
  </si>
  <si>
    <t>ETO-PROT 00151/2026</t>
  </si>
  <si>
    <t>AL03062013</t>
  </si>
  <si>
    <t>15/07 PARECER COCM, FOI ATENDIDA PELA OS ETO-RD-PS 1616/2026 OBRA-021260053910/07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t>
  </si>
  <si>
    <t>Atendimento da RDU Luzimangues Industrial por fonte alternativa</t>
  </si>
  <si>
    <t>ETO-RD-PS 00323/2025</t>
  </si>
  <si>
    <t>MIRACEMA DO TOCANTINS</t>
  </si>
  <si>
    <t>LD05050008</t>
  </si>
  <si>
    <t>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t>
  </si>
  <si>
    <t>Aumento de reclamações no atendimento de Miracema no período seco</t>
  </si>
  <si>
    <t>ETO-PROT 00153/2026</t>
  </si>
  <si>
    <t>FIGUEIROPOLIS</t>
  </si>
  <si>
    <t>FORMOSO DO ARAGUAIA</t>
  </si>
  <si>
    <t>AL02033047</t>
  </si>
  <si>
    <t>10/07 PARECER COEP: EQUIPAMENTO ENTREGUE AOS COCM´S FAVOR INFORMAR PRAZO DE SUBSTUIÇÃO PARA O DMSL E REPASSAR DEPOIS PARA PROTEÇÃO REALIZAR OS AJUSTES E DESCREVER NA SS O SERVIÇO REALIZADOPARECER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t>
  </si>
  <si>
    <t>Transferência da Bunge, Saneatins e secadora</t>
  </si>
  <si>
    <t>ETO-RD-PO 00208/2026</t>
  </si>
  <si>
    <t>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t>
  </si>
  <si>
    <t>Atenidmento da COELBA (Alto potencial de compensação)</t>
  </si>
  <si>
    <t>ETO-RD-DP 00404/2026</t>
  </si>
  <si>
    <t>CHAPADA DA NATIVIDADE</t>
  </si>
  <si>
    <t>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AJUSTES30/06PARECER COEP: AGUARDANDO COCM'S CRIAREM OBRA PARA ENTREGA DO MATERIALSegue nota para normalizar falha em regulador N:5800438116 - Chapada da natividade .equipamento está com fase B e C travada .OBS: a fase B esta sinalizando falha , equipamento não insere TAP negativo na fase B e C , o mesmo ficou no TAP zerado e bloqueado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C.Foi constatado que a placa F do controle está com defeito.</t>
  </si>
  <si>
    <t>Atendimento da região da Engegold, Nativa, cidade Natividade e Chapada da Natividade (Fonte alternativa)</t>
  </si>
  <si>
    <t>ETO-COEP 00151/2026</t>
  </si>
  <si>
    <t>BANDEIRANTES DO TOCANTINS</t>
  </si>
  <si>
    <t>LD01054060</t>
  </si>
  <si>
    <t>PARECER DMSL 13/07/2026: Realizados ensaios de isolação nas três células, e foi identificado curto na fase A, sendo necessário a sua substituição. Os cabos das buchas ficaram desconectados para melhor identificação no momento da sua substituiçãSEGUE PARA O DMSL AVALIAR ANTES DE SEGUIRMOS COM O SERVIÇOSEGUE PARA REALIZAR TROCA---------------------------------------------------------Boa noite,Segue SS para tratativas regulador de tensão 5840227063 fase C em curto</t>
  </si>
  <si>
    <t>Atendimento da RDU Bandeirantes e clientes rurais</t>
  </si>
  <si>
    <t>ETO-TELE 00881/2026</t>
  </si>
  <si>
    <t>MARIANOPOLIS</t>
  </si>
  <si>
    <t>DIVINOPOLIS</t>
  </si>
  <si>
    <t>LD05062013</t>
  </si>
  <si>
    <t>PARECER DMSL: FAVOR SOLUCIONAR PENDENCIAS RT: 5851753086Relé R.U.A  Data: _19/05/2026Sid: 2740/2026Possui rádio?: SimPossui antena?: SimPossui módulo nobreak?: SimServiço Executado: * Feito testes no equipamento,o mesmo está normal.* Será necessário fazer melhorias na malha de terra e colocar em operação.Equipamento ficou em operação? Não Pendência: Sim. É necessário fazer melhorias na malha de aterramento.Bateria(s) substituída(s)? _nao Data Fabricação/Instalação da(s) bateria(s): 12/2025Equipe: Jean e BenvindoPARECER DCMD: FEITO MELHORIA NA MALHA DO ATERRAMENTO, FAVOR ENVIAR EQUIPE PARA COLOCA-LO EM OPERAÇÃORT 5851753086MESMO ESTA BY-PASSADO EM CAMPO EQUIPE SINERGIA 086OP01 ESTEVE NO LOCAL APARENTIMENTE SEM DEFEITO APARENTE MESMO FOI BY PASSADO POR TER TIRADO LINHA.DESDE ENTAO MESMO NAO VOLTOU PARA OPERAÇÃO .FAVOR VERIFICAR PARA TESTES POSSIVEIS .PARA QUE O MESMO VOLTA COM DISPONIBILIDADE PARA OPERAÇÃO .</t>
  </si>
  <si>
    <t>Atendimento da RDU Marianópolis e clientes rurais</t>
  </si>
  <si>
    <t>ETO-TELE 00986/2026</t>
  </si>
  <si>
    <t>LD04040003</t>
  </si>
  <si>
    <t>COCM SUL - 07/07/2026 - FOI REALIZADO MELHORIA DE ATERRAMENTO E FEITO A MANUTENÇÕES E TODAS AS CHAVES E SUBSTITUIDO OS CONECTORES.PARECER COEP: MELHORIA DE ATERRAMENTO É COCM'S, FAVOR ENCAMINHAR DIRETAMENTE PARA ELES, COCM'S REALIZAR MELHORIA DE ATERRAMENTO POR FAVORPor genteliiza verificar RT 5846328094 situação de equipamento, se encontra by passado em campoPARECER DMSL:Favor, realizar melhoria de aterramento que se encontra alta e substituir todos os conectores das buchas por conectores estrangulador.</t>
  </si>
  <si>
    <t>Atendimento da RDU Sucupira e clientes rurais</t>
  </si>
  <si>
    <t>ETO-COEP 00184/2025</t>
  </si>
  <si>
    <t>20/07 PARECER COEP: EQUIPAMENTO SELECIONADO PARA COMPRAApós testes no RLG 7903112004 foi constatado defeito no mesmo e como se trata de um modelo COOPER FORM6 que está obsoleto e não possuímos peças sobressalentes, faz-se necessária substituição completa por modelo NOJA RC10.</t>
  </si>
  <si>
    <t>Transferência de Babaçulândia, 4 RLs sendo 2 operando</t>
  </si>
  <si>
    <t>ETO-COEP 00120/2025</t>
  </si>
  <si>
    <t>PALMEIRAS DO TOCANTINS</t>
  </si>
  <si>
    <t>TOCANTINOPOLIS</t>
  </si>
  <si>
    <t>LD01084002</t>
  </si>
  <si>
    <t>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t>
  </si>
  <si>
    <t>Transferência de Palmeiras, 3 fontes operando</t>
  </si>
  <si>
    <t>ETO-COEP 00029/2026</t>
  </si>
  <si>
    <t>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t>
  </si>
  <si>
    <t>Opção de isolação de São Félix e Mateiros para alimentação por gerador</t>
  </si>
  <si>
    <t>ETO-PROT 00156/2026</t>
  </si>
  <si>
    <t>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 Parecer COCM******Subsituido Tranque do RL pela Ordem de Serviço DLP-MPPA01 247/2026 RELATORIO EM ANEXO DA O.S EXECUTORA</t>
  </si>
  <si>
    <t>Transferência dos Grupos A -  VLI e Frisia</t>
  </si>
  <si>
    <t>ETO-RD-PO 00097/2026</t>
  </si>
  <si>
    <t>MONTE DO CARMO</t>
  </si>
  <si>
    <t>LD01051035</t>
  </si>
  <si>
    <t>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rua.Obs.: Fizeram melhoria na malha de terra, mas não está dentro do aceitável! As outras pendências continuam, favor corrigir. Equipamento ficou em operação?: Não  - Equipe: Benvindo e Kaique- SS ANTIGA ETO-TELE 358/2026</t>
  </si>
  <si>
    <t>Aumento de reclamações no atendimento de Silvanópolis por Monte do Carmo no período seco</t>
  </si>
  <si>
    <t>ETO-COEP 00150/2026</t>
  </si>
  <si>
    <t>LD01100001</t>
  </si>
  <si>
    <t>PARECER DMSL DATA 16/07/2026: será necessário fazer a substituição da parte ativa do equipamento.PARECER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t>
  </si>
  <si>
    <t>Transferência dos Grupos A -  Ramal do Rossato (TF 225kVA e TF 750kVA)</t>
  </si>
  <si>
    <t>ETO-RD-PS 00289/2026</t>
  </si>
  <si>
    <t>PUGMIL</t>
  </si>
  <si>
    <t>LD01062013</t>
  </si>
  <si>
    <t>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t>
  </si>
  <si>
    <t>Aumento de reclamações no atendimento de Pugmil no período seco</t>
  </si>
  <si>
    <t>ETO-COEP 00173/2025</t>
  </si>
  <si>
    <t>SANTA FE DO ARAGUAIA</t>
  </si>
  <si>
    <t>LD03010004</t>
  </si>
  <si>
    <t>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t>
  </si>
  <si>
    <t>Atendimento 3 povoados, na perca 4 ficam fora (900 UCs)</t>
  </si>
  <si>
    <t>ETO-COEP 00221/2025</t>
  </si>
  <si>
    <t>LD03028074</t>
  </si>
  <si>
    <t>PARECER COEP: EQUIPAMENTO SELECIONADO PARA COMPRASubstituir as 3 células- Melhoria na malha de aterramento - Melhoria no circuito de aterramento qua aterra as células.- Substituir conectores paralelos</t>
  </si>
  <si>
    <t>Atendimento da COELBA e GA Alessandro Maurício (1600 kVA)</t>
  </si>
  <si>
    <t>ETO-COEP 00063/2026</t>
  </si>
  <si>
    <t>CASEARA</t>
  </si>
  <si>
    <t>LD01434149</t>
  </si>
  <si>
    <t>14/07/2026 PARECER COEP: EQUIPAMENTO SELECIONADO PARA COMPRA Equipamento ficou em operação?: NãoPendência: Sim será necessário substituir a placaServiço Executado:  curto na placa foi tentando recuperar a mesma porém não teve sucesso!Bateria(s)substituída(s)? NÃOEquipe: Kaique e benvido</t>
  </si>
  <si>
    <t>Atendimento de cargas rurais entre Caseaarra e Araguacema (221 UCs)</t>
  </si>
  <si>
    <t>ETO-COEP 00129/2026</t>
  </si>
  <si>
    <t>SAO VALERIO DA NATIVIDADE</t>
  </si>
  <si>
    <t>LD01066094</t>
  </si>
  <si>
    <t>PARECER COEP: REAVALIAR DISPONIBILIDADE DO EQUIPAMENTO NO SCADA ASSIM COMO , FORNECER MODELO DO EQUIPAMENTO E FAIXA DE TENSÃO PARA COMPRA / AQUISIÇÃOTanque com defeito, realizar substituição do tanque.</t>
  </si>
  <si>
    <t>Fonte principal do Ramal Serranópolis (181 UCs), RL de transferência operando</t>
  </si>
  <si>
    <t>ETO-PROT 00135/2026</t>
  </si>
  <si>
    <t>ARAGUATINS</t>
  </si>
  <si>
    <t>AL03109039</t>
  </si>
  <si>
    <t>PARECER COEP: Equipamento em operação, instalado com sucesso, segue para Proteção para ajustesPARECER DMSL: Após testes, equipe DMSL constatou que o RLG 7922995039 encontra-se com parte ativa e controle danificados. Favor, realizar substituição completa do equipamento.Troca do sistema de comunicação do equipamento</t>
  </si>
  <si>
    <t>Atendimento do PA Esperança Viva (396 UCs)</t>
  </si>
  <si>
    <t>ETO-COEP 00024/2026</t>
  </si>
  <si>
    <t>30/06 PARECER COEP: EQUIPAMENTO SELECIONADO PARA COMPRAREALIZAR SUBSTITUIÇÃO DO TANQUE, O MESMO ESTÁ COM DEFEITO.</t>
  </si>
  <si>
    <t>Atendimento da COELBA</t>
  </si>
  <si>
    <t>ETO-COEP 00133/2026</t>
  </si>
  <si>
    <t>LD04062013</t>
  </si>
  <si>
    <t>14/07/2026 PARECER COEP : SUBSTIUIR CONTROLE COMPLETOPARECER DMSL: Equipamento com a placa de alimentação ca em curto, será necessário substituir a placa do equipamento. (Antiga nota era pra ter sido repassada porém foi baixada indevidamente pela equipe)</t>
  </si>
  <si>
    <t>Transferência de cargas do 444R da SE Paraíso I</t>
  </si>
  <si>
    <t>ETO-COEP 00045/2026</t>
  </si>
  <si>
    <t>LD03036052</t>
  </si>
  <si>
    <t>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t>
  </si>
  <si>
    <t>Equipamento localizado Fonte principal de atendimento a SE Cobrape</t>
  </si>
  <si>
    <t>ETO-COEP 00058/2026</t>
  </si>
  <si>
    <t>PEDRO AFONSO</t>
  </si>
  <si>
    <t>LD01414015</t>
  </si>
  <si>
    <t>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t>
  </si>
  <si>
    <t>Transferência do Ramal Agrovila (73 UCs)</t>
  </si>
  <si>
    <t>ETO-COEP 00125/2026</t>
  </si>
  <si>
    <t>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t>
  </si>
  <si>
    <t>Tranferência do Ramal do Chaparral (251 UCs)</t>
  </si>
  <si>
    <t>ETO-COEP 00038/2026</t>
  </si>
  <si>
    <t>SANTA ROSA DO TOCANTINS</t>
  </si>
  <si>
    <t>14/07/2026 PARECER COEP: EQUIPAMENTO SELECIONADO PARA COMPRADMSL:Serviço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t>
  </si>
  <si>
    <t>Atendimento de zona rural em Santa Rosa (160 UCs)</t>
  </si>
  <si>
    <t>ETO-PROT 00155/2026</t>
  </si>
  <si>
    <t>LD02059122</t>
  </si>
  <si>
    <t>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 Parcecer do COCM CENTRO-****FEITO A MALHAR DE ATERRAMENTO ATENDIDA PELA ORDEM DE SERVIÇO DLP-MLPA02 91/2026 COM RELATORIO EM ANEXO A O.S</t>
  </si>
  <si>
    <t>Atendimento do Ramal do Marasca e GAs (108 UCs)</t>
  </si>
  <si>
    <t>ETO-COEP 00123/2026</t>
  </si>
  <si>
    <t>PARECER COEP: EQUIPAMENTO SELECIONADO PARA COMPRATroca do sistema de comunicação do equipamentoDMSL 28/07/2025: Equipamento com tanque, modulo e rele com defeito, solicitar troca do equipamento ao DCMD.Fotos vão ser enviadas por e-mail</t>
  </si>
  <si>
    <t>Transferência entre 424R Araguatins e 434R Augustinópolis</t>
  </si>
  <si>
    <t>ETO-COEP 00156/2026</t>
  </si>
  <si>
    <t>BARROLANDIA</t>
  </si>
  <si>
    <t>AL02017017</t>
  </si>
  <si>
    <t>20/07 PARECER COCM: NÃO RECEBEMOS MATERIAL10/07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t>
  </si>
  <si>
    <t>Atendimento do Assentamento Irmã Adelaide</t>
  </si>
  <si>
    <t>ETO-TELE 01002/2026</t>
  </si>
  <si>
    <t>13/07/2026 PARECER COEP: EQUIPAMENTO REMANEJADO FAVOR FAZER O COMISSIONAMENTORELIGADOR N° 7908196047 REMANEJADO NA OBRA 0402401150 GENTILEZA, REALIZAR O COMISSIONAMENTO. LAUDO EM ANEXO. COORD EO: 698485, 8657287PARECER DA PROTEÇÃO:AJUSTE DISPONIBILIZADO NO APP DA PROTEÇÃO, NOTA REPASSADA PARA DMSL COMISSIONAR, POLO GURUPI, RL APENAS REMANEJADO DA REDE VELHA PARA REDE NOVA, EQUIPAMENTO COOPER, SE MANTEVE O MESMO NÚMERO DE ATIVO.ENG° IRLLEY CASTELO BRANCO.PARECER DMSL: Constatado curto-circuito no tanque do religador, impedindo as operações de abertura e fechamento do equipamento. Solicita-se a substituição completa do religador, incluindo tanque e unidade de controle.</t>
  </si>
  <si>
    <t>Seccionamento do Rural e energização do 224R</t>
  </si>
  <si>
    <t>ETO-COEP 00134/2026</t>
  </si>
  <si>
    <t>13/07/2026 PARECER COEP: SUBSTITUIR CONTOLE OU MANDAR MANUTENCIONAR EM CASO DE PRIORIDADE ALTAPARECER DMSL: Necessário substituir a placa de alimentação ca, a mesma está em curto não conseguimos recuperar. (Antiga nota era pra ter sido repassada porém foi baixada indevidamente pela equipe)</t>
  </si>
  <si>
    <t>Alimentação do serviço auxiliar da Investco e clientes rurais (260 UCs)</t>
  </si>
  <si>
    <t>ETO-COEP 00148/2026</t>
  </si>
  <si>
    <t>PARECER DMSL 16/07: Nota solicitada ao DMSL com a informação de que o tanque precisa ser substituído. Estou encaminhando a nota para a área responsável.Segue nota para envia manutenção substituir tanque do RL-7923927122 em curto, Anomalia identificada desarme das LD, s Palmas / Aparecida e Palmas Taquaruçu, Acesso livre, Tensão 34,5kv, Local RL de Interligação entre 424R / 414R.</t>
  </si>
  <si>
    <t>Transferência entre 414R e 424R SE Palmas II</t>
  </si>
  <si>
    <t>ETO-COEP 00158/2025</t>
  </si>
  <si>
    <t>PINDORAMA DO TOCANTINS</t>
  </si>
  <si>
    <t>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t>
  </si>
  <si>
    <t>Transferência da PCH Bagagem</t>
  </si>
  <si>
    <t>ETO-COEP 00132/2026</t>
  </si>
  <si>
    <t>LD01025012</t>
  </si>
  <si>
    <t>PARECER COEP: EQUIPAMENTO SELECIONADO PARA COMPRA , DEVERIA SER SUBSTITUIDO PARTE ATIVAPARECER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t>
  </si>
  <si>
    <t>Atendimento de Clientes rurais (483 UCs)</t>
  </si>
  <si>
    <t>ETO-COEP 00143/2025</t>
  </si>
  <si>
    <t>30/06 PARECER COEP: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t>
  </si>
  <si>
    <t>Alimentação de Monte do Carmo por Porto Nacional</t>
  </si>
  <si>
    <t>ETO-COEP 00128/2026</t>
  </si>
  <si>
    <t>SAO SALVADOR DO TOCANTINS</t>
  </si>
  <si>
    <t>LD02066094</t>
  </si>
  <si>
    <t>PARECER COEP: EQUIPAMENTO SELECIONADO  PARA COMPRAPARECER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t>
  </si>
  <si>
    <t>Fonte principal do Ramal do Retiro (246UCs), RL transferência by-passado</t>
  </si>
  <si>
    <t>ETO-COEP 00061/2026</t>
  </si>
  <si>
    <t>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t>
  </si>
  <si>
    <t>Localizado na fonte principal de atendimento de Divinópolis e Abreulândia</t>
  </si>
  <si>
    <t>ETO-COEP 00114/2026</t>
  </si>
  <si>
    <t>DUERE</t>
  </si>
  <si>
    <t>GURUPI</t>
  </si>
  <si>
    <t>AL01031076</t>
  </si>
  <si>
    <t>30/06 PARECER COEP: AGUARDANDO RETORNO DO DMSL PARA ENTENDER EXATAMENTE O QUE TENHO QUE SUBSTITUIRAberto nota para substituir tanque danificado e chave de entrada fase B danificadaPARECER DMSL: Foi confirmado pela equipe DMSL o defeito do tanque, favor seguir com a substituição e correção da chave de entrada fase B danificada.</t>
  </si>
  <si>
    <t>Atendimento do Ramal do Bacuri (168 UCs)</t>
  </si>
  <si>
    <t>ETO-RD-DP 00457/2026</t>
  </si>
  <si>
    <t>LD05002091</t>
  </si>
  <si>
    <t>20/07 PARECER COEP: EQUIPAMENTO ENTREGUE , FAVOR EDITAR A SS COM A DATA PREVISTA DE SUBSTITUIÇÃO NO PARECER DOS COCM´S Realizar substituição da FASE B.Célula da fase B estava com a tampa do contador de tape aberta, pegou chuva e molhou os contatos danificando a peça toda.</t>
  </si>
  <si>
    <t>Atendimento da LD Vale Rio Doce (Nova Aura Mineradora)</t>
  </si>
  <si>
    <t>ETO-COEP 00095/2026</t>
  </si>
  <si>
    <t>24/07 PARECER COEP:EQUIPAMENTO EM LOGISTICA DE ENTREGA Favor levar outro regulador de tensão, pois o mesmo foi furtado em campo.</t>
  </si>
  <si>
    <t>Atendimento de clientes rurais na LD Peixe Angical - Peixe</t>
  </si>
  <si>
    <t>ETO-RD-PS 00327/2026</t>
  </si>
  <si>
    <t>LD01047073</t>
  </si>
  <si>
    <t>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Benvindo13/07/2026 PARECER COEP: SUBSTITUIÇÃO REALZIADA , FAVOR COMISSIONARPARECER DMSL (22/07/26): Solicito que o laudo de substituição seja anexado, e a SS seja repassada para proteção atribuir a ordem de ajuste, antes de repassar para ETO-TELE.----------------------------------------------PARECER DA PROTEÇÃO: Prosseguir com o comissionamento. Ajustes de religador permanecem os mesmos, disponíveis no APP da Proteção.********************************RELIGADOR N°7919270014 REMANEJADO NA OBRA 0212501060 GENTILEZA, REALIZAR O COMISSIONAMENTO. LAUDO EM ANEXO. COORD EO: 617422, 8830787</t>
  </si>
  <si>
    <t>Atendimento de Clientes rurais (48 UCs)</t>
  </si>
  <si>
    <t>ETO-COEP 00051/2026</t>
  </si>
  <si>
    <t>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t>
  </si>
  <si>
    <t>Atenidmento do PA Principado (200 UCs)</t>
  </si>
  <si>
    <t>ETO-COEP 00144/2026</t>
  </si>
  <si>
    <t>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 Material ainda não foi entregue para substituição 15/07/2026</t>
  </si>
  <si>
    <t>Transferência do Irmã Adelaide (470 UCs)</t>
  </si>
  <si>
    <t>ETO-RD-DP 00403/2026</t>
  </si>
  <si>
    <t>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t>
  </si>
  <si>
    <t>Equipamento novo furtado antes de ser colocado em operação</t>
  </si>
  <si>
    <t>ETO-TELE 01032/2026</t>
  </si>
  <si>
    <t>SAO BENTO DO TOCANTINS</t>
  </si>
  <si>
    <t>LD03005098</t>
  </si>
  <si>
    <t>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</si>
  <si>
    <t>Equipamento novo furtado antes de ser colocado em operação, não inserido no SCADA</t>
  </si>
  <si>
    <t>ETO-TELE 00982/2026</t>
  </si>
  <si>
    <t>LD01035052</t>
  </si>
  <si>
    <t>SEGUE SOLICITAÇÃO DE SERVIÇO PARA REALIZAR VERIFICAÇÃO DO RL 7955832052 EQUIPAMENTO DE INTEELIGAÇÃO O MESMO ESTA SEM COMUNICAÇÃO ...FOI REALIZADO PRIMEIRO ATAQUE COM EQUIPE SINERGIA DE FORMOSO EO EQUIPAMENTO NÃO VOLTOU</t>
  </si>
  <si>
    <t>Falta definir</t>
  </si>
  <si>
    <t>ETO-COEP 00138/2026</t>
  </si>
  <si>
    <t>LD03414149</t>
  </si>
  <si>
    <t>PARECER DMSL 07/07/2026: equipamento tem que ser subistuido pois não faz comando, parte ativa com defeito FEITO O PRIMEIRO ATAQUE NO RELIGADOR 7930359149 E MESMO NÃO ACEITA COMANDO NEM LOCAL E NEM REMOTO SEGUNDO EQUIPE 149OP02 E PLACA DO RL ESTA CARBONIZADA COM SINAL DE CURTO.</t>
  </si>
  <si>
    <t>ETO-TELE 00932/2026</t>
  </si>
  <si>
    <t>AL01041003</t>
  </si>
  <si>
    <t>Segue SS de religador 7902098003 sem comunicação. Foi realizado o primeiro ataque porem o mesmo não retornou a comunicação.</t>
  </si>
  <si>
    <t>ETO-COEP 00147/2026</t>
  </si>
  <si>
    <t>ITAPIRATINS</t>
  </si>
  <si>
    <t>LD03038009</t>
  </si>
  <si>
    <t>20/07 PARECER COEP: EQUIPAMENTO SELECIONADO PARA COMPRASegue nota para substituir relé religador avariado marca noja , equipamento N: 7953211079 - Itapiratins .Obs: informação repassado pelo técnico DMSL Bruno .</t>
  </si>
  <si>
    <t>ETO-TELE 00929/2026</t>
  </si>
  <si>
    <t>MAURILANDIA DO TOCANTINS</t>
  </si>
  <si>
    <t>AL02043081</t>
  </si>
  <si>
    <t>FEITO PRIMEIRO ATAQUE COM A EQUIPE LOCAL E NÃO VOLTOU A COMUNICAR. PROVIDENCIAR MANUTENÇÃO PARA O MESMO.</t>
  </si>
  <si>
    <t>ETO-TELE 00938/2026</t>
  </si>
  <si>
    <t>Segue nota para verificar falha intermitência na comunicação RL 7908300096 RDU- Pindorama .</t>
  </si>
  <si>
    <t>ETO-TELE 00892/2026</t>
  </si>
  <si>
    <t>Segue RL 7953570026 O MESMO FOI FEITO PRIMEIRO ATAQUE, painel do religador acendeu porem não voltou a comunicação junto ao SCADA, equipe fez teste em comando local, tudo normal porem sem retorno de comunicação, rl na SE DE PONTE ALTA</t>
  </si>
  <si>
    <t>DG-RD-PO 00444/2026</t>
  </si>
  <si>
    <t>DG-RD-PO</t>
  </si>
  <si>
    <t>Segue nota para recuperar malha de aterramento no RL 7911120026 RDU- Ponte Alta .OBS: Provavelmente foi furtado cabos de aterramento   .</t>
  </si>
  <si>
    <t>ETO-TELE 01019/2026</t>
  </si>
  <si>
    <t>Segue nota para verificar falha de comunicação no religador 7908716091 - Rural -  Almas  .Equipamento perdeu a comunicação quando faltou CA , porém mesmo ao retorna o CA não retornou à comunicação !</t>
  </si>
  <si>
    <t>ETO-TELE 01005/2026</t>
  </si>
  <si>
    <t>Segue nota para verificar falha e constantes travamento no regulador de tensão 5848305116 - chapada da Natividade .Foi identificado que regulador está com divergência em TAP"S analógico e digital .Foi executado comandos no relé para comutar TAP na fase AB foi executado no relé , porém não alterou analógico e nem fez barulho algum , a princípio a fase C está normal .</t>
  </si>
  <si>
    <t>ETO-TELE 01007/2026</t>
  </si>
  <si>
    <t>ARRAIAS</t>
  </si>
  <si>
    <t>LD01110005</t>
  </si>
  <si>
    <t>Favor verifcar Religador 7961368005 , equipamento sem comunicação , feito primeiro ataque com equipe operacional , porem não ouve retorno .</t>
  </si>
  <si>
    <t>ETO-TELE 01026/2026</t>
  </si>
  <si>
    <t>LD05028074</t>
  </si>
  <si>
    <t>Segue nota para verificar falha de comunicação no religador 7929663074  rural - Dianópolis  .Equipamento perde a comunicação quando falta CA !</t>
  </si>
  <si>
    <t>ETO-TELE 01029/2026</t>
  </si>
  <si>
    <t>CAMPOS LINDOS</t>
  </si>
  <si>
    <t>PS01112193</t>
  </si>
  <si>
    <t>Religador sem comunicação, apos primeiro ataque não retornou a comunicação.</t>
  </si>
  <si>
    <t>ETO-TELE 00999/2026</t>
  </si>
  <si>
    <t>LD02040003</t>
  </si>
  <si>
    <t>RELIGADOR DE POSTE 7955792076 SEM COMUNIÇÃO COM COI ,FEITO PRIMEIRO ATAQUE COM EQUIPE OPERACIONAL O MESMO NÃO RETORNOU A COMUNICAÇÃO ENVIAR EQUIPE ESPECIAL VERIFICAR EM CAMPO</t>
  </si>
  <si>
    <t>ETO-TELE 00985/2026</t>
  </si>
  <si>
    <t>COUTO MAGALHAES</t>
  </si>
  <si>
    <t>AL01024113</t>
  </si>
  <si>
    <t>Segue nota para averiguar ajuste regulador de tensão N: 5839141113 - RDU - Couto Magalhães , e verificar falha de comunicação   .Equipe operacional verificou que vários transformadores urbanos estão com nível de tensão baixa .Foi feito primeiro ataque regulador está comutando normalmente as 3 fases , porém não está no nível adequado !Em campo regulador estava no Tap R1 - 02 , R2 + 01 , R3 +03Medições feitas :Transformador 5700010113     - NA: 205 NB: 206 NC: 210Transformador 5700011113      - NA: 204 NB: 206 NC: 209Transformador 5700333113       -NA: 205 NB: 207 NC: 208OBS: solicitar equipe para realizar medição aterramento ,  e verificar ajuste junto ao time proteção .  verificar falha de comunicação no equipamento .</t>
  </si>
  <si>
    <t>ETO-TELE 00998/2026</t>
  </si>
  <si>
    <t>AL10059122</t>
  </si>
  <si>
    <t>rl 7908683122  retirado de operaçao devido falha na base do rele  equipamento.</t>
  </si>
  <si>
    <t>ETO-TELE 01027/2026</t>
  </si>
  <si>
    <t>LD03010021</t>
  </si>
  <si>
    <t>Segue SS para verificar falha de comunicação no religador 7923110021. Equipe foi no local realizar primeiro ataque e informou que o radio de comunicação encontra-se com defeito</t>
  </si>
  <si>
    <t>ETO-TELE 01018/2026</t>
  </si>
  <si>
    <t>Segue nota para falha de comunicação no religador 7900001096 - Rural - Pindorama .Equipamento perdeu a comunicação quando faltou CA , porém mesmo ao retorna o CA não retornou a comunicação !Feito primeiro ataque sem sucesso !</t>
  </si>
  <si>
    <t>ETO-TELE 01020/2026</t>
  </si>
  <si>
    <t>Segue nota para verificar falha de comunicação no religador 7900451096 - Rural -  Pindorama  .Equipamento perde a comunicação quando falta CA !</t>
  </si>
  <si>
    <t>ETO-TELE 01021/2026</t>
  </si>
  <si>
    <t>Boa noite .Segue nota para verificar falha de comunicação no religador 7900259096 -  Pindorama .Equipamento perde a comunicação quando falta CA !</t>
  </si>
  <si>
    <t>ETO-TELE 01008/2026</t>
  </si>
  <si>
    <t>por favor deslocar equipe da manutenção no RL 7962734119 por que foi feito o primeiro ataque no mesmo mais não voltou comunção no sistema escada</t>
  </si>
  <si>
    <t>Ativo</t>
  </si>
  <si>
    <t>Tipo</t>
  </si>
  <si>
    <t>Localidade</t>
  </si>
  <si>
    <t>Polo</t>
  </si>
  <si>
    <t>Regional</t>
  </si>
  <si>
    <t>SS aberta</t>
  </si>
  <si>
    <t>Parecer COEP</t>
  </si>
  <si>
    <t>Observação</t>
  </si>
  <si>
    <t>Check de concluídas</t>
  </si>
  <si>
    <t>Defeito identificado</t>
  </si>
  <si>
    <t>Descrição SS</t>
  </si>
  <si>
    <t>CONCLUÍDA</t>
  </si>
  <si>
    <t>Ok</t>
  </si>
  <si>
    <t/>
  </si>
  <si>
    <t>Aumento de reclamações no atendimento de Goiatins e GAs relevantes na região</t>
  </si>
  <si>
    <t>Substituido 24/07/2026</t>
  </si>
  <si>
    <t>Laudo da empreteira</t>
  </si>
  <si>
    <t>Em andamento</t>
  </si>
  <si>
    <t>Célula</t>
  </si>
  <si>
    <t>Equipamento entregue ao COCM</t>
  </si>
  <si>
    <t>Previsão de Substituição 28/07</t>
  </si>
  <si>
    <t xml:space="preserve">Controle </t>
  </si>
  <si>
    <t>ARAGUACU</t>
  </si>
  <si>
    <t>ALVORADA</t>
  </si>
  <si>
    <t>Aumento de reclamações no atendimento de Araguaçu no período seco</t>
  </si>
  <si>
    <t>Em processo de aquisição</t>
  </si>
  <si>
    <t>Estava aguardando retorno DMSL</t>
  </si>
  <si>
    <t>Completo</t>
  </si>
  <si>
    <t>Tanque e rádio</t>
  </si>
  <si>
    <t>Concluído DCMD</t>
  </si>
  <si>
    <t>Previsão de substituição 16/07</t>
  </si>
  <si>
    <t>Tanque e antena</t>
  </si>
  <si>
    <t>ARAGUACEMA</t>
  </si>
  <si>
    <t>Transferência da RDU de Araguacema (1506 UCs)</t>
  </si>
  <si>
    <t>Controle</t>
  </si>
  <si>
    <t>Previsão de instalação 30/07/2026</t>
  </si>
  <si>
    <t>Células + controle</t>
  </si>
  <si>
    <t>Transferência dos bairros JD Santa Helena, Jd Filadelfiae Setor Caraja em Araguaína (2053 UCs), AL 254R de AR I e AL 214R de AR III</t>
  </si>
  <si>
    <t>Mandar reformar</t>
  </si>
  <si>
    <t>Tanque e cabo umbilical</t>
  </si>
  <si>
    <t>Previsão de entrega 15/07</t>
  </si>
  <si>
    <t>Em processo logístico</t>
  </si>
  <si>
    <t>Previsão de entrega 16/07</t>
  </si>
  <si>
    <t>Tanque + controle</t>
  </si>
  <si>
    <t>Previsão de substituição 20/07</t>
  </si>
  <si>
    <t>Em fase de ajustes</t>
  </si>
  <si>
    <t>Destinada parte ativa do RL 7900453110</t>
  </si>
  <si>
    <t xml:space="preserve">Tanque </t>
  </si>
  <si>
    <t>ETO-PROT  000148/2026</t>
  </si>
  <si>
    <t>Previsão de substituição 10/07</t>
  </si>
  <si>
    <t>RIO DOS BOIS</t>
  </si>
  <si>
    <t>Fonte principal de Rio dos Bois, RL de transferência operando</t>
  </si>
  <si>
    <t xml:space="preserve">Atendimento da RDU de Bom Jesus e parcial da RDU de Pedro Afonso </t>
  </si>
  <si>
    <t>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t>
  </si>
  <si>
    <t>Tanque</t>
  </si>
  <si>
    <t>Aumento de reclamações no atendimento de São Felix e Mateiros no período seco</t>
  </si>
  <si>
    <t>Aguardando comissionamento</t>
  </si>
  <si>
    <t>Previsão de chegada 20/10/2026</t>
  </si>
  <si>
    <t>Aguardando atualização de informação DMSL</t>
  </si>
  <si>
    <t>Aguardando confirmação em campo sobre o equipamento</t>
  </si>
  <si>
    <t>Foi realizado os serviços apontados pelo DMSL?</t>
  </si>
  <si>
    <t>Controle e aterramento</t>
  </si>
  <si>
    <t>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aterrament2o da bucha FC.* Tranques  muito alto e próximo da rede  não permitindo o comissionamento com segurança.* Controle alto  demais tem que baixar Equipamento ficou em operação?: nãoPendência: sim, precisa comissionar completoOBS</t>
  </si>
  <si>
    <t>Tanque e PR do trafo e chave</t>
  </si>
  <si>
    <t>APARECIDA DO RIO NEGRO</t>
  </si>
  <si>
    <t>Atendimento da RDU de Aparecida do Rio Negro</t>
  </si>
  <si>
    <t>ARAGOMINAS</t>
  </si>
  <si>
    <t>Proteção da baixa do TF de força da SE Aragominas</t>
  </si>
  <si>
    <t>Fonte principal de Marianópolis, RL transferência operando</t>
  </si>
  <si>
    <t>Primeiro ataque DMSL</t>
  </si>
  <si>
    <t>Aguardando previsão de substituição</t>
  </si>
  <si>
    <t>Melhoria de aterramento</t>
  </si>
  <si>
    <t>Problema na autorização de passagem</t>
  </si>
  <si>
    <t xml:space="preserve">Cliente não autorizou entrar na propriedade </t>
  </si>
  <si>
    <t>WANDERLANDIA</t>
  </si>
  <si>
    <t>Aumento de reclamações no atendimento de Wanderlândia no período seco</t>
  </si>
  <si>
    <t>NATIVIDADE</t>
  </si>
  <si>
    <t>Equipamento para apoio na transferência de cargas na região de Natividade</t>
  </si>
  <si>
    <t>Aguardando obra COCM</t>
  </si>
  <si>
    <t>Previsão de substituição 30/07 (Falta confirmar conm Dener e a empreteira)</t>
  </si>
  <si>
    <t>TAIPAS DO TOCANTINS</t>
  </si>
  <si>
    <t>Atendimento de Taipas</t>
  </si>
  <si>
    <t>SEGUE PARA O DMSL AVALIAR ANTES DE SEGUIRMOS COM O SERVIÇOSEGUE PARA REALIZAR TROCA---------------------------------------------------------Boa noite,Segue SS para tratativas regulador de tensão 5840227063 fase C em curto</t>
  </si>
  <si>
    <t>Previsão de entrega 16/07, 1 tanque NOJA sobrando</t>
  </si>
  <si>
    <t>Tanque + controle e chave</t>
  </si>
  <si>
    <t>Transferência de Aragominas, 3 fontes operando</t>
  </si>
  <si>
    <t>Atendimento do PA Mumbuca (106 UCs), no desarme a jusante penaliza parte da RDU de Tocantinópolis (1384 UCs)</t>
  </si>
  <si>
    <t>Transferência do Grupo A - Xavante (TF 1087,5 kVA) e outros GA menores</t>
  </si>
  <si>
    <t>Em processo de Aquisição</t>
  </si>
  <si>
    <t>Transferência do Grupo A - Engegold (TF 7500 kVA)</t>
  </si>
  <si>
    <t>Vai ser feito um poço para realizar a melhoria de aterramento 28/07/2026</t>
  </si>
  <si>
    <t>Atendimento de parte da RDU de Guaraí e ramal da PRF/Repetidora</t>
  </si>
  <si>
    <t>Transferência do Ramal do Retiro (246UCs), fonte principal by-passado</t>
  </si>
  <si>
    <t>Aguardando desativação do Regulador da Obra de Construção</t>
  </si>
  <si>
    <t>Previsão até dia 20/08</t>
  </si>
  <si>
    <t>Células + melhoria de aterramento</t>
  </si>
  <si>
    <t>Em operação</t>
  </si>
  <si>
    <t>30/06 PARECER COEP: AGUARDANDO RETORNO DO DMSL.REALIZAR SUBSTITUIÇÃO DO TANQUE, O MESMO ESTÁ COM DEFEITO.</t>
  </si>
  <si>
    <t>Atendimento do Grupo A - Matosul (TF 1500 kVA)</t>
  </si>
  <si>
    <t>ETO-RD-AR 1070/2026</t>
  </si>
  <si>
    <t>Confirmar com o DMSL</t>
  </si>
  <si>
    <t>Transferência de Palmeiras, 3 RLs sendo 2 operando</t>
  </si>
  <si>
    <t>MONTE SANTO DO TOCANTINS</t>
  </si>
  <si>
    <t>444R de Paraíso I, atendimento de Monte Santo, devido defeito a RDU está manobrada para o 454R</t>
  </si>
  <si>
    <t>NOVO JARDIM</t>
  </si>
  <si>
    <t>Desmobilizado</t>
  </si>
  <si>
    <t>Equipamento obsoleto com a entrada da SE Serras Gerais</t>
  </si>
  <si>
    <t>NOVA OLINDA</t>
  </si>
  <si>
    <t>Previsão de entrega 20/07</t>
  </si>
  <si>
    <t>Atendimento dos ramais PA Remansão e Água Branca</t>
  </si>
  <si>
    <t>Equipamento Em operação Confimardo com o Operador com Joelson</t>
  </si>
  <si>
    <t>Aguardando confirmação sobre execução do COCM</t>
  </si>
  <si>
    <t>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t>
  </si>
  <si>
    <t>Atendimento do Ramal do Gato (288 UCs) e UFV Videira, no desarme a jusante penaliza a cidade de Pindorama</t>
  </si>
  <si>
    <t>DOIS IRMAOS DO TOCANTINS</t>
  </si>
  <si>
    <t>Atendimento do Ramal do Boleu (13 UCs), no desarme a jusante penaliza parte 303 UCs rurais</t>
  </si>
  <si>
    <t>Fonte alternativa de atendimento do Ramal Bacuri (217 UCs)</t>
  </si>
  <si>
    <t>Atendimento do PA Novo Plano (102 UCs)</t>
  </si>
  <si>
    <t>Tanque e controle</t>
  </si>
  <si>
    <t>Atendimento do PA Xobo (194 UCs)</t>
  </si>
  <si>
    <t>LAGOA DO TOCANTINS</t>
  </si>
  <si>
    <t>ETO-TELE 973/2026</t>
  </si>
  <si>
    <t>Completo sem o radio</t>
  </si>
  <si>
    <t>Atendimento do Ramal do Rio Preto (197 UCs)</t>
  </si>
  <si>
    <t>(REPASSAR PARA ANALISE DMSL)</t>
  </si>
  <si>
    <t>PARECER COEP: AGUARDANDO COCM´s GERAREM A OBRA COM ABERTURA CONTABIL DENER SOARESRealizar substituição da FASE B.Célula da fase B estava com a tampa do contador de tape aberta, pegou chuva e molhou os contatos danificando a peça toda.</t>
  </si>
  <si>
    <t>Levar para analise de reguladores furtados no Sul</t>
  </si>
  <si>
    <t>Display</t>
  </si>
  <si>
    <t>Atendimento do PA Piedade (125 UCs)</t>
  </si>
  <si>
    <t>Problema no envio do Material</t>
  </si>
  <si>
    <t>bateria, rádio,Tanque</t>
  </si>
  <si>
    <t>Furtado novamente</t>
  </si>
  <si>
    <t>Por estrategia não será enviado neste momento equipamento, iremos utilizar em outros reguladores, alinhado com Allan casos de 400 KVA</t>
  </si>
  <si>
    <t>3 celula</t>
  </si>
  <si>
    <t>PIRAQUE</t>
  </si>
  <si>
    <t>REPASSAR O DMSL (EQUIPAMENTO OPERANDO NO SCADA)</t>
  </si>
  <si>
    <t>Equipamento não identificado no SCADA e Mapa TS</t>
  </si>
  <si>
    <t>BRASILANDIA DO TOCANTINS</t>
  </si>
  <si>
    <t>TAGUATINGA</t>
  </si>
  <si>
    <t>Rótulos de Linha</t>
  </si>
  <si>
    <t>Contagem de Ativo</t>
  </si>
  <si>
    <t>Previsão de substituição 07/08</t>
  </si>
  <si>
    <t>Previsão de substituição 27/08</t>
  </si>
  <si>
    <t>Previsão de substituição 28/07</t>
  </si>
  <si>
    <t>Substituido 24/07, pendente laudo</t>
  </si>
  <si>
    <t>Concluído</t>
  </si>
  <si>
    <t>Previsão de entrega 10/08</t>
  </si>
  <si>
    <t>Substituido 27/07, pendente laudo</t>
  </si>
  <si>
    <t>Previsão de entrega 10/08, 1 tanque NOJA sobrando</t>
  </si>
  <si>
    <t>Previsão de entrega 16/08</t>
  </si>
  <si>
    <t>Aguardando parecer DMSL</t>
  </si>
  <si>
    <t>DTA_CONCLUSAO</t>
  </si>
  <si>
    <t>ETO-TELE 00829/2026</t>
  </si>
  <si>
    <t>Segue nota para verificar falha de comunicação no regulador 5833578028 - Rural - Natividade.equipe operacional foi no local, feito reset , porém não conseguiram normalizar sua comunicação .</t>
  </si>
  <si>
    <t>ETO-TELE 00814/2026</t>
  </si>
  <si>
    <t>favor verificar religador 7913657147 foi feito primeiro ataque ja duas vezes e encontra disjuntor desligado liga em seguida desarma.</t>
  </si>
  <si>
    <t>ETO-TELE 00511/2026</t>
  </si>
  <si>
    <t>Foi feito primeiro ataque no RL 7944353028 e a equipe repassou que o dusjuntor estava desarmado. Foi feito rearme do disjuntor e so voltou a comunicção apos uns 50 minutos , o mesmo ficou bay passado em campo .</t>
  </si>
  <si>
    <t>ETO-TELE 00785/2026</t>
  </si>
  <si>
    <t>AL01028074</t>
  </si>
  <si>
    <t>Religador  7931863074  sem comunicação , feito primeiro ataque o mesmo não  retornou a comunicar.  favor disponibilizar equipe para devidas tratativas</t>
  </si>
  <si>
    <t>ETO-TELE 00768/2026</t>
  </si>
  <si>
    <t>CONCEICAO DO TOCANTINS</t>
  </si>
  <si>
    <t>senhores religador 7964803072 sem comunicaçao feito primeiro ataque sem sucesso , mesmo atende rdu de conceiçao</t>
  </si>
  <si>
    <t>ETO-TELE 00877/2026</t>
  </si>
  <si>
    <t>segue rl 7903572004 sem comunicação equipe fez primeiro ataque e identificou cabos PP DE ALIMENTAÇÃO  C/A oxidado e rompido, display apagado, enviar equipe para fazer correções, RL N/A urgencia devido ser de transferencia de cargas do dj 244R ARA 1 e 224R ARA 3</t>
  </si>
  <si>
    <t>ETO-COEP 00181/2025</t>
  </si>
  <si>
    <t>PARECER DMSL: Após testes realizados, foi constado que o RLG 7943790134 encontra-se com a parte ativa danificada. Favor, realizar substituição do mesmo.Troca do sistema de comunicação do equipamento</t>
  </si>
  <si>
    <t>ETO-TELE 00856/2026</t>
  </si>
  <si>
    <t>AL01008032</t>
  </si>
  <si>
    <t>Verificar situação de equipamento by passado, falta comissionamento ???</t>
  </si>
  <si>
    <t>ETO-TELE 00818/2026</t>
  </si>
  <si>
    <t>REGULADOR COM RELÉ APAGADO - REALIZADO PRIMEIRO ATAQUE COORDENADO COM DMSL, PORÉM NÃO FOI POSSÍVEL RESOLVER PROBLEMA.</t>
  </si>
  <si>
    <t>ETO-TELE 00835/2026</t>
  </si>
  <si>
    <t>PEQUIZEIRO</t>
  </si>
  <si>
    <t>LD03020023</t>
  </si>
  <si>
    <t>REALIZADO PRIMEIRO ATAQUE O MESMO RETORNOU A FICAR SEM COMUNICAÇÃO, EQUIPE RELATA QUE NÃO ESTA CHEGANDO TENSÃO NO PAINEL, PROVAVEL FALTA DE NEUTRO DENTRO DO COMANDO.</t>
  </si>
  <si>
    <t>ETO-TELE 00879/2026</t>
  </si>
  <si>
    <t>AL02065015</t>
  </si>
  <si>
    <t>PARECER DCMD:Servio realizado , favor comissionar Obra: 0712600316PARECER DMSL: A antena do rádio do RLG 7957620015 fica próximo da BT, onde a mesma veio a encostar no cabo da fase o que ocasionou um curto-circuito no rádio, que passou para todos os componentes do controle. Sendo asim se faz necessário a substituição do controle por inteiro, pois o curto danificou o rádio, módulo sim, relé e fonte. Fornecer também além do controle completo, a antena e o cabo umbilical que apresenta sinais de danos.rl 7957620015 com anomalia na antena de comunicação do mesmo, e painel não acende equipe fez primeira ataque e o mesmo não retornou comunicação, rl ficou by passado NECESSITA URGENCIA O MESMO PERTENCE CIRCUITO DO ALIMENTADOR 2 DE PEDRO AFONSO ATEDE RDU DE BOM JESUS</t>
  </si>
  <si>
    <t>ETO-TELE 00609/2026</t>
  </si>
  <si>
    <t>religador 7964802072 sem comunicaçao foi feito primeiro ataque sem sucesso . rural de conceiçao</t>
  </si>
  <si>
    <t>ETO-RD-DP 00359/2026</t>
  </si>
  <si>
    <t>Foi  Constatado RL 7955635116 Em curto Quando fechado com cargas ou faz alguma manobra .   equipe informou que o problema a na chave de entrada quando faz manobra o mesmo da arco , favor verificar as conexoes de entrada e saida do do mesmo .PARECER DMSL: REALIZAR MANUTENÇÃO NOS PARA-RAIO RETIRANDO DE PRÓXIMO DA MÃO FRANCESA, POIS ESTÁ CAUSANDO CURTO DEVIDO A PASSARASOS. O EQUIPAMENTO FICOU BYPASSADO, APÓS MANUTENÇÃO, FAVOR COLOCAR O EQUIPAMENTO EM OPERAÇÃO.</t>
  </si>
  <si>
    <t>ETO-TELE 00771/2026</t>
  </si>
  <si>
    <t>NOVO ACORDO</t>
  </si>
  <si>
    <t>LD01059122</t>
  </si>
  <si>
    <t>Por favor Deslocar equipe DMSL para substituir disjuntor danificado do religador 7907536092 que esta sem condiçoes de receber comandos remoto</t>
  </si>
  <si>
    <t>ETO-TELE 00973/2026</t>
  </si>
  <si>
    <t>PARECER COEP: FAVOR AVALIAR SE REALMENTE SERÁ A SUBSTITUIÇÃO DO EQUIPAMENTO COMPLETO JÁ QUE O PROBLEMA OCORRE NA FASE B E O EQUIPAMENTO PARECE ESTAR EM OPERAÇÃO E COMUNICANDO COM O SCADAVerificar RL 7910027196- sem comunicaçãoEquipe foi no local e realizou primeiro ataque sem suscesso   PARECER DMSL EQUIPOAMENTO FICOU EM OPERACAO, RESTABELCIDO PELA KAROL  ação remota com a velp Porém ele também DEVE SER REALIZADO substituição por conta da fase B 7910027196 ta com a leitura incorreta na tensão da fase B.( Subsituição do Equipamento Completo exceto o Radio)Time do COEP, Assim que Tiver Compra do Equipamento, Favor Tranferir a SS Posto ETO RD PA, para que Possamos seguir com a Substituição!</t>
  </si>
  <si>
    <t>ETO-TELE 00897/2026</t>
  </si>
  <si>
    <t>AL09059122</t>
  </si>
  <si>
    <t>Segue nota para envia equipe colocar RL-7931604122 em operação e verificar constante falha de comunicação e automação no equipamento, Obs. RL foi isolador após abalroamento na sua estrutura pela ocorrência Int-20264460073558 dia 30/05/2026</t>
  </si>
  <si>
    <t>ETO-TELE 00836/2026</t>
  </si>
  <si>
    <t>PONTE ALTA BOM JESUS</t>
  </si>
  <si>
    <t>AL01070027</t>
  </si>
  <si>
    <t>favor veriifcar religador 7929763027 foi feito primeiro ataque voltaou a comunicar logo depois perdeu a comunicação novamente.atende rdu de ponte alta do abom jesus.</t>
  </si>
  <si>
    <t>ETO-TELE 00895/2026</t>
  </si>
  <si>
    <t>LD06002091</t>
  </si>
  <si>
    <t>FOI CONSTATADO RL 7908203091, SEM COMUNICAÇÃO EM CURTO AO LIGAR O DISJUNTOR , FAVOR DISPONIBILIZAR EQUIPE PARA DEVIDAS TRATATIVAS</t>
  </si>
  <si>
    <t>ETO-TELE 00872/2026</t>
  </si>
  <si>
    <t>LD04010004</t>
  </si>
  <si>
    <t>PARECER DCMD: EQUIPAMENTO SUBSTITUIDO DIA 27/05/2026 LAUDO EM ANEXOPARECER DMSL: RLG 7900018004 encontra-se com defeito no controle. Por se tratar de modelo obsoleto e não termos peça de reposição para religador cooper, se faz necessário a substituição completa por um modelo NOJA RC10.Religador 7900018004 sem comunicação, feito o primeiro ataque não retornou as comunicação.</t>
  </si>
  <si>
    <t>ETO-TELE 00876/2026</t>
  </si>
  <si>
    <t>AL01078038</t>
  </si>
  <si>
    <t>segue religador 7929658038 sem comunicçao feito primeiro ataque , sem sucesso obs. mesmo estar sinalizando falaha na bateria com led vermelho, na rdu de taguatinga</t>
  </si>
  <si>
    <t>ETO-TELE 00834/2026</t>
  </si>
  <si>
    <t>COLMEIA</t>
  </si>
  <si>
    <t>LD04038009</t>
  </si>
  <si>
    <t>feito o primeiro ataque e dijuntor esta em curto enviar equipe para recuperar religador que esta sem comunicao 033po01</t>
  </si>
  <si>
    <t>ETO-TELE 00875/2026</t>
  </si>
  <si>
    <t>segue nota do RL 7926785070 o mesmo esta sem comunicaçao, RL esta com uma mancha escura no visor. equipe 070op01 fez o primeiro ataque porem a comunicaçao nao voltou</t>
  </si>
  <si>
    <t>ETO-TELE 00930/2026</t>
  </si>
  <si>
    <t>LD03014045</t>
  </si>
  <si>
    <t>FEITO O PRIMEIRO ATAQUE NO RL 7900510045 E O MESMO NÃO RETORNOU A COMUNICAR. PROVIDENCIAR A MANUTENÇÃO DO MESMO</t>
  </si>
  <si>
    <t>ETO-TELE 00947/2026</t>
  </si>
  <si>
    <t>favor enviar equipe no Regulador 5800440256, o mesmo esta travado e com a comunicaçao intermitente</t>
  </si>
  <si>
    <t>ETO-TELE 00936/2026</t>
  </si>
  <si>
    <t>AL01054060</t>
  </si>
  <si>
    <t>PARECER COEP:TRAFO FURTADO JÁ INSTALADO, FAVOR REALIZAR COMISSIONAMENTO-------------------------------------------------------PARECER DMSL:Realizar a substituição do transformador. (Furtado)Equipe: Adeilton e EdicleberSID 1874/202617/04/2026______________________________________PARECER DMSL: Chamado de desenvolvimento 30484170 criado. Favor, programar comissionamento a partir do dia 20/02/26. POLOCOLPARECER DA PROTEÇÃO:Planilha com as informações anexada. É sugerido que sejam conferidas as medições da malha de aterramento do equipamento antes da sua inserção no sistema. Isso é fundamental para garantir a segurança e a eficiência do equipamento.Os ajustes estão disponíveis no APP da proteção.Estagiário Rafael Pereira Marques._____________________RELIGADOR N° 7962635060 INSTALADO NA OBRA 0602401143 GENTILEZA, REALIZAR O COMISSIONAMENTO. LAUDO EM ANEXO. COORD EO: 789405, 9172143</t>
  </si>
  <si>
    <t>ETO-TELE 00963/2026</t>
  </si>
  <si>
    <t>AL05010004</t>
  </si>
  <si>
    <t>PARECER COEP: Equipamento está em operação no Scada, preciso da especificação do modelo do equipamento para realizar a compraPARECER DMSL:Realizar substituição do equipamento todo e parte ativa.Equipe: Adeilton e EdicleberData: 12/03-----------------------------------------------------------------------------Religador sem comunicação, apos  primeiro ataque o mesmo não retornou as comunicação.</t>
  </si>
  <si>
    <t>ETO-TELE 00941/2026</t>
  </si>
  <si>
    <t>FEITO O PRIMEIRO ATAQUE NO RL 7954668084 E O DISPLAY ESTÁ QUEIMADO, NÃO LIGA.OS (99) 106230846PRECISA SER FEITO A ANÀLISE DO DMSL, PARA A COMPRA DO EQUIPAMENTO</t>
  </si>
  <si>
    <t>ETO-TELE 00960/2026</t>
  </si>
  <si>
    <t>LD02010021</t>
  </si>
  <si>
    <t>PARECER COEP: Equipamento em operação no SCADA, favor reavaliar necessidade de substituição ,assim como especificar modelo das peças a serem substituidas e os defeitos.REALIZAR SUBSTITUIÇÃO DO TANQUE.</t>
  </si>
  <si>
    <t>ETO-TELE 00962/2026</t>
  </si>
  <si>
    <t>PARECER COEP: Equipamento em operação no SCADA, se for necessário , favor especificar peça e modelo para substituiçãoTanque do RLG 7936038076 queimado, favor substituir o mesmo.NS do tanque: 0320118112616</t>
  </si>
  <si>
    <t>ETO-TELE 00959/2026</t>
  </si>
  <si>
    <t>PARECER COEP: Equipamento em operação no SCADA, favor revisitar ou explicar defeito e modelo do equipamento.Substituição de tanque e controle, os mesmos estão com defeitos.</t>
  </si>
  <si>
    <t>ETO-TELE 00961/2026</t>
  </si>
  <si>
    <t>PARECER COEP: Equipamento em operação no Scada, além de não especificar o defeito, ainda não especificou marca e modelo para substituiçãoSolicitação de serviço para substituição de parte ativa de RL [7955520116] danificada conforme imagens anexadas.</t>
  </si>
  <si>
    <t>ETO-TELE 00861/2026</t>
  </si>
  <si>
    <t>SEGUE SS DE RELIGADOR COM CURTO INTERNO, DJUNTOR DE BT NÃO ACEITA.</t>
  </si>
  <si>
    <t>ETO-PROT 00134/2026</t>
  </si>
  <si>
    <t>LD01414027</t>
  </si>
  <si>
    <t>Segue nota para verificar falha em regulador de tensão N: 5820790038- Rural - Taguatinga .A mineradora Nativo está constantemente reclamando de tensão baixa, porém equipamento está regulando inserindo taps negativosE tensão ficando entorno de 19,7 kv .Favor analisar ajustes , ou possíveis falhas como aterramento . Parecer da proteção:Alterado a tensão de referência de 20.120 para 21.000.Eng° Irlley Castelo Branco.</t>
  </si>
  <si>
    <t>ETO-TELE 00978/2026</t>
  </si>
  <si>
    <t>LD02020023</t>
  </si>
  <si>
    <t>FOI REALIZADO O PRIMEIRO ATAQUE E O MESMO NÃO RETORNOU A COMUNICAÇÃO</t>
  </si>
  <si>
    <t>ETO-PROT 00147/2026</t>
  </si>
  <si>
    <t>Segue nota para verificar ajustes no regulador de tensão 5800657026 S/E Ponte Alta , motivo constantes reclamações de tensão na LD , foi identificado que no período das 17:30 às 22:00 a tensão reduz muito , os reguladores de tensão na LD não conseguem controlar o nivel de tensão ficando a tensão entorno de 18,5 KV ,  principalmente na fase A no regulador 5864441026 . No regulador 5800440256 a fase que fica mais baixa e a fase C .Obs: Nesse período crítico o nível de tensão no Dj 414 da S/E Ponte alta fica entorno de 33 KV , porém o regulador de tensão da S/E ponte Alta N: 5800657026 foi identificado que estava em Tap's  abaixo do 4 , tendo possibilidade de melhorar o nível de tensão .Foi feito testes reguladores comutou normal , porém não ficou no nível ideal !Parecer da proteção:Qualquer alteração no Regulador de Tensão (RT) da SE Ponte Alta impactará diretamente o barramento de 13,8 kV. Atualmente, o transformador encontra-se ajustado no TAP 4 (33,638 kV), e uma mudança nesse ajuste poderá ocasionar novas reclamações de tensão por parte dos consumidores atendidos nesse nível de tensão.Por outro lado, caso o transformador 34,5/13,8 kV seja ajustado para a posição nominal, poderemos ter reclamações de tensão baixa na rede de distribuição urbana (RDU), considerando que não possuímos controle sobre os TAPs dos transformadores de distribuição. Em contrapartida, essa alteração proporcionaria maior margem operacional para o ajuste do RT do sistema de 34,5 kV.Diante desse cenário, é imprescindível embasar qualquer tomada de decisão em dados de campo. Como primeira etapa, sugiro realizar um levantamento amostral dos TAPs dos transformadores de distribuição localizados na região central da cidade de Ponte Alta, de forma a identificar a posição em que atualmente estão operando.Além disso, considero importante realizarmos uma reunião técnica para conduzir um estudo de engenharia mais aprofundado. As decisões relativas aos ajustes operacionais devem ser</t>
  </si>
  <si>
    <t>ETO-RD-PS 00303/2026</t>
  </si>
  <si>
    <t>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t>
  </si>
  <si>
    <t>ETO-TELE 00924/2026</t>
  </si>
  <si>
    <t>SEGUE SS PARA REGULARIZAR FALTA DE COMUNICAÇÃO DO RELIGADOR 7925713040</t>
  </si>
  <si>
    <t>ETO-TELE 00954/2026</t>
  </si>
  <si>
    <t>AL02084002</t>
  </si>
  <si>
    <t>FEITO PRIMEIRO ATAQUE E RELIGADOR 7934697002, NÃO REALIZA COMANDOS. FOI BY PASSADO.PROVIDENCIAR MANUTENÇÃO.</t>
  </si>
  <si>
    <t>ETO-RD-AR 01131/2026</t>
  </si>
  <si>
    <t>ETO-RD-AR</t>
  </si>
  <si>
    <t>20/07 PARECER COEP: EQUIPAMENTO ENTREGUE AOS COCM´S , AGUARDO A PREVISÃO DE SUSBTITUIÇÃO NA PLANILHA E SUBSTIUIÇÃO DEPOIS SEGUIR COM O FLUXO , DESCREVER A ATIVIDADE REALIZADA E DATA, PASSAR PARA A PROTEÇÃO COM LAUDO EM ANEXO E DEPOIS COMISSIONAR14/07 PARECER COEP: EQUIPAMENTO EM ROTA DE ENTREGAPARECER DMSL: Célula da fase A encontra-se com vazamento de óleo no pé da torneira. Necessário substituição da célula.Aberto nota para verificar vazamento de óleo fase A no RT 5844630060 - RDU Nova Olinda</t>
  </si>
  <si>
    <t>Coluna1</t>
  </si>
  <si>
    <t>Coluna2</t>
  </si>
  <si>
    <t>Legenda</t>
  </si>
  <si>
    <t>Cancelada em operação</t>
  </si>
  <si>
    <t>(*)</t>
  </si>
  <si>
    <t>Não houve ataque do DMSL</t>
  </si>
  <si>
    <t>Concluído Melhoria de aterramento</t>
  </si>
  <si>
    <t>Concluído Reporte Kelliton</t>
  </si>
  <si>
    <t>Concluído DCMD e DMSL</t>
  </si>
  <si>
    <t>Reporte Dener</t>
  </si>
  <si>
    <t>Equipamento alinhado com o Jean para colocar os cabos compatibilizadores , vamos só instalar o controle e o suporte</t>
  </si>
  <si>
    <t>Report Kelliton</t>
  </si>
  <si>
    <t>Equipamento em Logistica</t>
  </si>
  <si>
    <t>Vamos retirar de uma obra de construção de uma linha antiga e usar na manutenção</t>
  </si>
  <si>
    <t>Pendente</t>
  </si>
  <si>
    <t>Aguardando o Marcelo Primo gerar a obra em abertura contabil</t>
  </si>
  <si>
    <t xml:space="preserve"> </t>
  </si>
  <si>
    <t>Concluído poço para melhoria de aterramento aberto</t>
  </si>
  <si>
    <t>Novo</t>
  </si>
  <si>
    <t xml:space="preserve">Desmobilizado </t>
  </si>
  <si>
    <t>Tratativas do Allan</t>
  </si>
  <si>
    <t>Equipamento entregue aos COCM's</t>
  </si>
  <si>
    <t>Previsão de entrega 20/07 // Foi entregue a eles verificar o porque eles baixaram</t>
  </si>
  <si>
    <t>Concluído DCMD24/07</t>
  </si>
  <si>
    <t>Report Edson</t>
  </si>
  <si>
    <t>Previsão de substituição 07/08// Nova previsão de entrega 21/08 se a DB Machado for para o Sul</t>
  </si>
  <si>
    <t>Furtado 2 vezes</t>
  </si>
  <si>
    <t>Equipamento não inserido no SCADA</t>
  </si>
  <si>
    <t>Reporte do Wander</t>
  </si>
  <si>
    <t>Reporte Wandersson</t>
  </si>
  <si>
    <t>Equipamento entregue, redirecionaremos para o Caso 7933726256</t>
  </si>
  <si>
    <t xml:space="preserve">Concluído DCMD </t>
  </si>
  <si>
    <t>Verificar se já foi repassado</t>
  </si>
  <si>
    <t>Verificar se já foi repassado// Reporte Joelson</t>
  </si>
  <si>
    <t>Previsão de substituição 07/08 // 22/08 Se a DB Machado for pro Sul</t>
  </si>
  <si>
    <t>Equipamento Fora de operação</t>
  </si>
  <si>
    <t>Cancelada errada pelo DMSL</t>
  </si>
  <si>
    <t>Melhoria de aterramento concluída</t>
  </si>
  <si>
    <t>1 controle NOJA sobrando</t>
  </si>
  <si>
    <t>Estava aguardando análise DMSL</t>
  </si>
  <si>
    <t>Trafo auxiliar e tanque</t>
  </si>
  <si>
    <t>Concuído DCMD</t>
  </si>
  <si>
    <t>Construir Reporte Leonardo</t>
  </si>
  <si>
    <t>Report Marcelo Primo ou Edson</t>
  </si>
  <si>
    <t xml:space="preserve">Tanque e antena </t>
  </si>
  <si>
    <t xml:space="preserve">Destinada parte ativa do RL 7900453110 </t>
  </si>
  <si>
    <t>Reporte do Luanderson</t>
  </si>
  <si>
    <t>Trafo auxiliar e completo</t>
  </si>
  <si>
    <t>Atendimento de cargas rurais entre Caseara e Araguacema (221 UCs)</t>
  </si>
  <si>
    <t>Reporte Edson Cursino</t>
  </si>
  <si>
    <t>Equipamento em operação no SCADA, favor enviar tanque enviado para Porto Nacional e cancelar a Obra. Utilizaremos tanque para Porto7953610256</t>
  </si>
  <si>
    <t>Executado realmente concluído todos os passos</t>
  </si>
  <si>
    <t>Linha viva substiui as chaves pode ser que esteja dentro de operação</t>
  </si>
  <si>
    <t>Campo deve ser prenchido pelo COEP</t>
  </si>
  <si>
    <t>Campo deve ser prenchido pelo COCM</t>
  </si>
  <si>
    <t>Equipamento</t>
  </si>
  <si>
    <t>MODELO</t>
  </si>
  <si>
    <t>Tensão</t>
  </si>
  <si>
    <t>Potencia</t>
  </si>
  <si>
    <t>OS Associada</t>
  </si>
  <si>
    <t>Necessário COEP Requisitar material</t>
  </si>
  <si>
    <t>Cod Material P/ Requisitar</t>
  </si>
  <si>
    <t>Tecnico Responsável</t>
  </si>
  <si>
    <t>Previsão de Regularização COCM</t>
  </si>
  <si>
    <t>Status da Substituição</t>
  </si>
  <si>
    <t>Equipamento Entregue ?</t>
  </si>
  <si>
    <t>Data da Substituição</t>
  </si>
  <si>
    <t>OBRA</t>
  </si>
  <si>
    <t>SIGCCO</t>
  </si>
  <si>
    <t>Deposito</t>
  </si>
  <si>
    <t>EMD</t>
  </si>
  <si>
    <t>Status Entrega</t>
  </si>
  <si>
    <t>Previsão de entrega</t>
  </si>
  <si>
    <t>Data Entrega</t>
  </si>
  <si>
    <t>Posto COEP</t>
  </si>
  <si>
    <t>EL NINO</t>
  </si>
  <si>
    <t>Religador</t>
  </si>
  <si>
    <t>ETO-COEP 00104/2025</t>
  </si>
  <si>
    <t>ETO-RD-GR 00472/2026</t>
  </si>
  <si>
    <t>Rádio, antena, controle</t>
  </si>
  <si>
    <t>Sim</t>
  </si>
  <si>
    <t>WANDER DA SILVA LEITE</t>
  </si>
  <si>
    <t>Concluída</t>
  </si>
  <si>
    <t>0712600316</t>
  </si>
  <si>
    <t>7902</t>
  </si>
  <si>
    <t>Concluido</t>
  </si>
  <si>
    <t>DIANÓPOLIS</t>
  </si>
  <si>
    <t>ETO-RD-DP 01344/2026</t>
  </si>
  <si>
    <t>7955520116</t>
  </si>
  <si>
    <t>Tanque (parte ativa)</t>
  </si>
  <si>
    <t>Não</t>
  </si>
  <si>
    <t>Dener Soares</t>
  </si>
  <si>
    <t>NA</t>
  </si>
  <si>
    <t>0512600178</t>
  </si>
  <si>
    <t>8495</t>
  </si>
  <si>
    <t>ETO-RD-DP 1344/2026</t>
  </si>
  <si>
    <t>PONTE ALTA DO TOCANTINS</t>
  </si>
  <si>
    <t>ETO-COEP 00113/2026</t>
  </si>
  <si>
    <t>ETO-RD-PO 01860/2026</t>
  </si>
  <si>
    <t>Parte Ativa e o Tanque</t>
  </si>
  <si>
    <t>Edson Curcino</t>
  </si>
  <si>
    <t>0312600354</t>
  </si>
  <si>
    <t>Indeferir a obra</t>
  </si>
  <si>
    <t>Deslocamento  da ASPO Alinhado com o Allan de Guaraí para Pedro Afonso</t>
  </si>
  <si>
    <t>ETO-RD-PO 185/2026</t>
  </si>
  <si>
    <t>ETO-COEP 50/2026</t>
  </si>
  <si>
    <t>ETO-RD-PO 2020/2026</t>
  </si>
  <si>
    <t>Utilizaremos o que foi direcionado para o Polo Paraíso que já estava em operação e enviar para esse caso</t>
  </si>
  <si>
    <t>ETO-RD-PO 208/2026</t>
  </si>
  <si>
    <t>ETO-RD-AG 365/2026</t>
  </si>
  <si>
    <t>Luanderson</t>
  </si>
  <si>
    <t>0662600266</t>
  </si>
  <si>
    <t>6905</t>
  </si>
  <si>
    <t>Ainda no nosso posto , mas de acordo com o Luanderson vai disponibilizar a equipe na terça-feira 03/06</t>
  </si>
  <si>
    <t>ETO-TELE 00869/2026</t>
  </si>
  <si>
    <t>ETO-COEP 00034/2026</t>
  </si>
  <si>
    <t>ETO-RD-PS 00193/2026</t>
  </si>
  <si>
    <t>Rádio, trafo,Tanque e Controle</t>
  </si>
  <si>
    <t>Vinicius Camargo Costa</t>
  </si>
  <si>
    <t>Não podermos atender agora, rádio foi requisitado para obra do PN</t>
  </si>
  <si>
    <t>0212600423</t>
  </si>
  <si>
    <t>Não Houve entrega do Material</t>
  </si>
  <si>
    <t>ETO-COEP 00094/2025</t>
  </si>
  <si>
    <t>ETO-RD-AG 364/2026</t>
  </si>
  <si>
    <t>0662600265</t>
  </si>
  <si>
    <t>ETO - RD-AG 549/2025</t>
  </si>
  <si>
    <t>ETO-COEP 00211/2025</t>
  </si>
  <si>
    <t>ETO-RD-PA 00283/2026</t>
  </si>
  <si>
    <t>Marcelo Primo</t>
  </si>
  <si>
    <t>0112600424</t>
  </si>
  <si>
    <t>1905</t>
  </si>
  <si>
    <t>SS ETO-RD-PA 00431/2026</t>
  </si>
  <si>
    <t>ETO-COEP 00108/2026</t>
  </si>
  <si>
    <t>ETO-RD-PO 1859/2026</t>
  </si>
  <si>
    <t>0312600351</t>
  </si>
  <si>
    <t>Utilizaremos o que foi direcionado para Santa Rita , Favor Cancelar a obra COCM´S</t>
  </si>
  <si>
    <t>ETO-RD-PO 181/2026</t>
  </si>
  <si>
    <t>ETO-COEP 00206/2025</t>
  </si>
  <si>
    <t>ETO-RD-PA 00282/2026</t>
  </si>
  <si>
    <t>0112600383</t>
  </si>
  <si>
    <t>SS ETO-RD-PA 433/2026</t>
  </si>
  <si>
    <t>Controle Completo</t>
  </si>
  <si>
    <t>Leonardo Santos da Silva</t>
  </si>
  <si>
    <t>Aguardando entrega do Equipamento</t>
  </si>
  <si>
    <t>0612600565</t>
  </si>
  <si>
    <t>6903</t>
  </si>
  <si>
    <t>510069 , 515116</t>
  </si>
  <si>
    <t>PROBLEMA NO ENVIO DO CONTROLE</t>
  </si>
  <si>
    <t>ETO-COEP 00036/2026</t>
  </si>
  <si>
    <t>0112600425</t>
  </si>
  <si>
    <t>SS ETO-RD-PA 432/2026</t>
  </si>
  <si>
    <t>ETO-COEP 00222/2025</t>
  </si>
  <si>
    <t>Julio Cesar</t>
  </si>
  <si>
    <t>0412600392</t>
  </si>
  <si>
    <t>4906</t>
  </si>
  <si>
    <t>ETO-RD-GU 1391/2026 (atrasada) Aguardando previsão de substituição</t>
  </si>
  <si>
    <t>ETO-RD-AG 697/2026</t>
  </si>
  <si>
    <t>ETO-COEP 00177/2025</t>
  </si>
  <si>
    <t>ETO-RD-DP 00271/2026</t>
  </si>
  <si>
    <t>0512600135</t>
  </si>
  <si>
    <t>5908</t>
  </si>
  <si>
    <t>ETO-RD-DP 788/2026</t>
  </si>
  <si>
    <t>ETO-COEP 00174/2024</t>
  </si>
  <si>
    <t>ETO-RD-PS 00194/2026</t>
  </si>
  <si>
    <t>Joelson Silva de Souza</t>
  </si>
  <si>
    <t>0212600425</t>
  </si>
  <si>
    <t>2903</t>
  </si>
  <si>
    <t>Previsão de Substiuição atrasada</t>
  </si>
  <si>
    <t>ETO-RD-OS 302/2026</t>
  </si>
  <si>
    <t>Tanque - cooper - Aproveitar do 7900018004</t>
  </si>
  <si>
    <t>CONTROLE NOJA ENVIADO</t>
  </si>
  <si>
    <t>ETO-COEP 00169/2025</t>
  </si>
  <si>
    <t>ETO-RD-PO 00121/2026</t>
  </si>
  <si>
    <t>0312600264</t>
  </si>
  <si>
    <t>3905</t>
  </si>
  <si>
    <t>Regulador</t>
  </si>
  <si>
    <t>ETO-COEP 00160/2025</t>
  </si>
  <si>
    <t>ETO-RD-PO 01873/2026</t>
  </si>
  <si>
    <t>Celula Fase B</t>
  </si>
  <si>
    <t>0312600352</t>
  </si>
  <si>
    <t>ETO-COEP 00156/2025</t>
  </si>
  <si>
    <t>ETO-RD-PS  001001/2026</t>
  </si>
  <si>
    <t>Controle e ajuste</t>
  </si>
  <si>
    <t>0212600428</t>
  </si>
  <si>
    <t>510216</t>
  </si>
  <si>
    <t>ETO-RD-PS 301/2026</t>
  </si>
  <si>
    <t>ETO-COEP 00122/2025</t>
  </si>
  <si>
    <t>ETO-RD-PS 00192/2026</t>
  </si>
  <si>
    <t>Completo - Relé Cooper</t>
  </si>
  <si>
    <t>Equipamento Entregue</t>
  </si>
  <si>
    <t>0212600422</t>
  </si>
  <si>
    <t>Calendário logistco vai sair hoje 29/05/2026, assim que tiver rota de entrga avisamos</t>
  </si>
  <si>
    <t>ETO-RD-OS 325/2026</t>
  </si>
  <si>
    <t>ETO-COEP 00199/2025</t>
  </si>
  <si>
    <t>5855411017</t>
  </si>
  <si>
    <t>Vamos requisitar 1 controle</t>
  </si>
  <si>
    <t>0212600536</t>
  </si>
  <si>
    <t>8389</t>
  </si>
  <si>
    <t>ETO-RD-PS 304/2026</t>
  </si>
  <si>
    <t>ETO-COEP 00178/2025</t>
  </si>
  <si>
    <t>Completo (Controle - cooper)</t>
  </si>
  <si>
    <t>0612600439</t>
  </si>
  <si>
    <t>ETO-COEP 00223/2025</t>
  </si>
  <si>
    <t>3 celulas</t>
  </si>
  <si>
    <t>Requisição</t>
  </si>
  <si>
    <t>0512600177</t>
  </si>
  <si>
    <t>8481</t>
  </si>
  <si>
    <t>REQUISITAR 03 PEÇAS POIS 02  PÇ FOI RETIRADA PARA INSTALAÇÃO EM OBRA DE CONSTRUÇÃO.</t>
  </si>
  <si>
    <t>ETO-RD-DP 479/2026</t>
  </si>
  <si>
    <t>ETO-COEP 00123/2025</t>
  </si>
  <si>
    <t>Vamos requisitar , 3 celulas</t>
  </si>
  <si>
    <t>LUANDERSON</t>
  </si>
  <si>
    <t>Selecionado Para Aquisição</t>
  </si>
  <si>
    <t>0662600361</t>
  </si>
  <si>
    <t>Por estrategia não será enviado neste momento equipamento, iremos utilizar em outros reguladores</t>
  </si>
  <si>
    <t>Redirecionado para atender 5854566043 e 5862236091</t>
  </si>
  <si>
    <t>ETO-TELE 1032/2026</t>
  </si>
  <si>
    <t>ETO-COEP 00216/2025</t>
  </si>
  <si>
    <t>ETO-RD-PS  001614/2026</t>
  </si>
  <si>
    <t>5827102054</t>
  </si>
  <si>
    <t>Transferir para o COMC, corrigir o aterramento e verificar a possibilidade de corrigir a infiltração do controle com a cola utilizada para vedar vazamento no transformadores</t>
  </si>
  <si>
    <t>0212600537</t>
  </si>
  <si>
    <t>Repasse COCM´s</t>
  </si>
  <si>
    <t>Cancelar a obra tentar vedação do equipamento Melhoria de aterramento</t>
  </si>
  <si>
    <t>Media</t>
  </si>
  <si>
    <t>ETO-COEP 00077/2026</t>
  </si>
  <si>
    <t>ETO-RD-PS  001616/2026</t>
  </si>
  <si>
    <t>5801866013</t>
  </si>
  <si>
    <t>Vamos requisitar, 1 celula</t>
  </si>
  <si>
    <t>Aguardando a criação da obra para abrir a requisição</t>
  </si>
  <si>
    <t>0212600539</t>
  </si>
  <si>
    <t>ETO-RD-OS 303/2026</t>
  </si>
  <si>
    <t>ETO-COEP 00209/2025</t>
  </si>
  <si>
    <t>ETO-RD-GU 00493/2026</t>
  </si>
  <si>
    <t>0412600391</t>
  </si>
  <si>
    <t>511539, 511541</t>
  </si>
  <si>
    <t>ATRASO COCM´S</t>
  </si>
  <si>
    <t>ETO-RD-AG 696/2026</t>
  </si>
  <si>
    <t>ETO-COEP 00167/2025</t>
  </si>
  <si>
    <t>Vamos requisitar 1 celula fase A</t>
  </si>
  <si>
    <t>0612600626</t>
  </si>
  <si>
    <t>Entrega 16/07</t>
  </si>
  <si>
    <t>ETO-RD-AR 1131/2026</t>
  </si>
  <si>
    <t>ETO-COEP 00106/2025</t>
  </si>
  <si>
    <t>SEM OBRA</t>
  </si>
  <si>
    <t>ETO-COEP 00180/2025</t>
  </si>
  <si>
    <t>5850308009</t>
  </si>
  <si>
    <t>Aguardando equipamento ser entregue</t>
  </si>
  <si>
    <t>0712600418</t>
  </si>
  <si>
    <t>Equipamento em operação em campo de acordo com a visita do Luanderson tem fotos
Equipamento já em operação , realocar controle de Regulador para Arapoema 5800371025</t>
  </si>
  <si>
    <t>ETO-COEP 00115/2026</t>
  </si>
  <si>
    <t>0712600419</t>
  </si>
  <si>
    <t>514632 , 516125</t>
  </si>
  <si>
    <t>ETO-COEP 00171/2025</t>
  </si>
  <si>
    <t>ETO-RD-DP 1548/2026</t>
  </si>
  <si>
    <t>5800438116</t>
  </si>
  <si>
    <t>Vamos requisitar , fase B e C</t>
  </si>
  <si>
    <t>Será utilizado regulador retirado de obra de construção</t>
  </si>
  <si>
    <t>0512600179</t>
  </si>
  <si>
    <t>Peças no Polo sobressalentes</t>
  </si>
  <si>
    <t>NÃO PRECISA REQUISITAR EQUIPAMENTO, VAMOS UTILIZAR EQ RETIRADO DE OBRA DE CONSTRUÇÃO.</t>
  </si>
  <si>
    <t>TOSCHIBA</t>
  </si>
  <si>
    <t>ETO-COEP 00187/2025</t>
  </si>
  <si>
    <t>SIm</t>
  </si>
  <si>
    <t>0712600318</t>
  </si>
  <si>
    <t>20/07/026</t>
  </si>
  <si>
    <t>ITB</t>
  </si>
  <si>
    <t>PEIXES</t>
  </si>
  <si>
    <t>ETO-RD-GU 3374/2026</t>
  </si>
  <si>
    <t>1 Celula</t>
  </si>
  <si>
    <t>690240</t>
  </si>
  <si>
    <t>DIONE SOUSA MARQUES</t>
  </si>
  <si>
    <t>0412600550</t>
  </si>
  <si>
    <t>Aguardando criação da Obra</t>
  </si>
  <si>
    <t>ETO-RD-PS 323/2025</t>
  </si>
  <si>
    <t>Melhoria de Aterramento</t>
  </si>
  <si>
    <t>JOELSON SILVA DE SOUZA</t>
  </si>
  <si>
    <t>5803327001</t>
  </si>
  <si>
    <t>LUZIMANGUES</t>
  </si>
  <si>
    <t>1 Controle</t>
  </si>
  <si>
    <t>CONTROLE RUA QUE VOLTOU DE DIANÓPOLIS</t>
  </si>
  <si>
    <t>Pendente laudo da empreteira</t>
  </si>
  <si>
    <t>Construir Reporte</t>
  </si>
  <si>
    <t>Previsão de entrega 20/10</t>
  </si>
  <si>
    <t>x</t>
  </si>
  <si>
    <t>SOBRANDO</t>
  </si>
  <si>
    <t>EDSON CURCINO/PORTO NACIONAL</t>
  </si>
  <si>
    <t>Conferir EMD</t>
  </si>
  <si>
    <t>PARECER COEP: EQUIPAMENTO SELECIONADO PARA COMPRAboa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t>
  </si>
  <si>
    <t>PARECER COEP: PREVISÃO DE ENTREGA 16/07/2026PEÇA ENVIADA: CONTROLEPARECER DMSL: *FEEDBACK EQUIP. ESPECIAIS**Nº DO EQUIPAMENTO:* 5800859011*TIPO EQUIPAMENTO:* RT ITB *TIPO DE COMUNICAÇÃO:* Não *DATA DA MANUTENÇÃO:* 09/06/2026*SID:* 3195/2026*DESCRIÇÃO:* _ Foi identificado relé da fase C com defeito conforme orientação da supervisão e necessário realiza retrofit para instalação de controle rua.*FICOU EM OPERAÇÃO* Não*PENDÊNCIA:* Realizado Retrofit *DADOS DIVERGENTES DA PROGRAMAÇÃO:* Não*BATERIA SUBSTITUÍDA?:* Não*TIPO DE BATERIA:**EQUIPE:* Edeglan e Brunno.Observação: trocar por um controle RUA.------------------------------------------------------------------------------------------Enviar equipe do DMSL, para  fazer correção no RT 5800859011, o mesmo está com o displey da fase C apagado , dificutando  realizar  manobras no mesmo, emvirtude  disso o mesmo ficou BAY PASSADO EM CAMPO</t>
  </si>
  <si>
    <t>ETO-RD-PA 00433/2026</t>
  </si>
  <si>
    <t>30/06 PARECER COEP: EQUIPAMENTO ENTREGUE, SEGUE SS PARA O COCM´S , PARA REALIZAR O ATENDIMENTO,FAVOR ADICIONAR O PARECER PARA MANDAR PARA PROTEÇÃOBom dia,Segue SS para verificação RL sem comunicação com painel apagado equipe DEOP fez primeiro ataque sem sucesso RL 7931610122 RDU de Palmas.Feedback Equipamentos Especiais DMSL: *RLG 7931610122 RDU Palmas*Noja rc10 Data: 14/10/2025SID: 5412Dados de comunicação divergentes da programação: Não. Serviço Executado: Houve um curto no equipamento danificando a parte ativa, e antena! Será necessário fazer a substituição somente da parte ativa (tanque) e da antena.Equipamento ficou em operação?: Não Pendência: Sim, substituir a parte ativa.Bateria(s) substituída(s)?: NãoData Fabricação/Instalação da(s) bateria(s): 2024Equipe: Benvindo, Juliano e Sérgio.</t>
  </si>
  <si>
    <t>ETO-COEP 00130/2026</t>
  </si>
  <si>
    <t>JOELSON SILVA DE SOUZA/ PARAÍSO</t>
  </si>
  <si>
    <t xml:space="preserve">PROBLEMA NA REQUISIÇÃO DO TANQUE QUE FOI DA 34,5 E NÃO FOI PEDIDO O CONTROLE </t>
  </si>
  <si>
    <t>ETO-COEP 00084/2026</t>
  </si>
  <si>
    <t>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t>
  </si>
  <si>
    <t>Previsão para substituição 20/07</t>
  </si>
  <si>
    <t>Ajuste de Proteção</t>
  </si>
  <si>
    <t>ETO-RD-PA 00431/2026</t>
  </si>
  <si>
    <t>Previsão de substituição 15/07</t>
  </si>
  <si>
    <t>PARECER COEP: EQUIPAMENTO ENTREGUE, SEGUE SS PARA O COCM´S , PARA REALIZAR O ATENDIMENTO,FAVOR ADICIONAR O PARECER PARA MANDAR PARA PROTEÇÃOSegue SS para verficar religador de poste 7933766059.Religador esta com defeito na parte ativa no tanque Porte gentilezaenviar equipe verificar.Endereço: TaquariPARECER DMSL: RLG 7933766059 RELÉ NOJA RC 10Mestre 2 Rep. taquaruçu GESID: 5457/2025Data: 15/10/2025Serviço Executado: Houve um curto na parte ativa do equipamento danificando a mesma, será necessário fazer a substituição somente do tanque, parte ativa.*Equipamento ficou em operação?:*Nao Pendência: Sim, substituir parte ativa.Equipe: Benvindo, Juliano e Sérgio.</t>
  </si>
  <si>
    <t>Já foi realizado vai ser passado para proteção até 15/07</t>
  </si>
  <si>
    <t>ETO-RD-PO 00185/2026</t>
  </si>
  <si>
    <t>Previsão para substituição 10/07</t>
  </si>
  <si>
    <t>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t>
  </si>
  <si>
    <t>Em processo de compra , precisou de analise nova DMSL</t>
  </si>
  <si>
    <t>ETO-RD-PO 00118/2026</t>
  </si>
  <si>
    <t xml:space="preserve"> PREVISAO DE SUBSTITUIÇÃO 23/07/2026</t>
  </si>
  <si>
    <t>Compra</t>
  </si>
  <si>
    <t>Foi redirecionado para priorizar o RL 7933726256</t>
  </si>
  <si>
    <t>Aguardando confirmação</t>
  </si>
  <si>
    <t>ETO-RD-PA 00434/2026</t>
  </si>
  <si>
    <t>ETO-TELE 970/2026 concluída e equipamento fora de operação</t>
  </si>
  <si>
    <t>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t>
  </si>
  <si>
    <t xml:space="preserve">(INICIALMENTE PARA AQUISIÇÃO) MAS PODEMOS UTILIZAR O TANQUE NELE </t>
  </si>
  <si>
    <t>ETO-RD-GU 00711/2026</t>
  </si>
  <si>
    <t>CONCLUÍDO</t>
  </si>
  <si>
    <t>EDSON CURCINOPORTO NACIONAL 14/07/2026</t>
  </si>
  <si>
    <t>ETO-RD-GR 00712/2026</t>
  </si>
  <si>
    <t>(Tanque da 34,5 Faltando)</t>
  </si>
  <si>
    <t>ETO-COEP 00050/2026</t>
  </si>
  <si>
    <t>PARECER COEP: AGUARDANDO COCM'S GERAREM A OBRA PARA ENTREGA DO MATERIALPARECER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t>
  </si>
  <si>
    <t>ETO-COEP 00117/2026</t>
  </si>
  <si>
    <t>PARECER COEP: AGUARDANDO RETORNO DO DMSLREGULADOR 5800090147 SEM COMUNICAÇÃO E TRAVANDO TAP´S - REALIZAO PRIMEIRO ATAQUE SEM SUCESSO.PARECER DMSL: Favor, substituir a célula da fase C do RT 5800090147 pois o microswitch que renconhece o neutro do regulador está com defeito.Equipamento ficou operando devido ser possível manobrar de forma manual.</t>
  </si>
  <si>
    <t>ETO-TELE 00942/2026</t>
  </si>
  <si>
    <t>PARECER COEP: AGUARAR RETORNo RETORNO DMSLApós testes no RLG 7903112004 foi constatado defeito no mesmo e como se trata de um modelo COOPER FORM6 que está obsoleto e não possuímos peças sobressalentes, faz-se necessária substituição completa por modelo NOJA RC10.</t>
  </si>
  <si>
    <t>Cobrar Marcelo ou Felipe</t>
  </si>
  <si>
    <t>ETO-RD-PA 00432/2026</t>
  </si>
  <si>
    <t>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t>
  </si>
  <si>
    <t>TELE</t>
  </si>
  <si>
    <t>ETO-TELE 00965/2026</t>
  </si>
  <si>
    <t>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t>
  </si>
  <si>
    <t>Aguardando obra COCM e PARECER DO DMSL</t>
  </si>
  <si>
    <t>MELHORIA DE ATERRAMENTO +11MIL (PRAZO SUSTITUIÇÃO)</t>
  </si>
  <si>
    <t>Melhoria de aterramento, controle precisa de aquisição</t>
  </si>
  <si>
    <t>Controle e melhoria de aterramento</t>
  </si>
  <si>
    <t>ETO-COEP 00127/2026</t>
  </si>
  <si>
    <t>PARECER COEP: Equipamento em operaçãpo no SCADAPARECER DMSL: Após testes, foi constatado que o RT  5850308009 encontra-se com controle danificado, sendo necessária substituição do mesmo.Regulador de tensão 5850308009 quando esta em Automatico esta deixa um fase muito baixa. foi deixado uma fase Manual e transferida parte do alimentaor.</t>
  </si>
  <si>
    <t>ETO-TELE 977/2026</t>
  </si>
  <si>
    <t>(EQUIPAMENTO PARA ANALISE DO DMSL)</t>
  </si>
  <si>
    <t>30/06 PARECER COEP: AGUARDANDO RETORNO DO DMSL , PARA VIABILIZAR TROCA APENAS DA PLACA , POIS EXISTEM 5 NO SALDO DE ESTOQUEEquipamento ficou em operação?: NãoPendência: Sim será necessário substituir a placaServiço Executado:  curto na placa foi tentando recuperar a mesma porém não teve sucesso!Bateria(s)substituída(s)? NÃOEquipe: Kaique e benvido</t>
  </si>
  <si>
    <t>(COMPRA)</t>
  </si>
  <si>
    <t>3 células e conectores</t>
  </si>
  <si>
    <t>Em Análise DMSL</t>
  </si>
  <si>
    <t>PARECER COEP: AGUARDANDO RETORNO DMSL, SERIA A COMPRA DA PARTE ATIVA+ CONTROLE+RADIO +RELE?DMSL:Serviço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t>
  </si>
  <si>
    <t>Concluído , em operação repassado ETO-PROT 135/2026</t>
  </si>
  <si>
    <t>ETO-RD-PA 00427/2026</t>
  </si>
  <si>
    <t>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t>
  </si>
  <si>
    <t>ETO-TELE 968/2026</t>
  </si>
  <si>
    <t>ETO-TELE 971/2026</t>
  </si>
  <si>
    <t>ETO- TELE 967/2026</t>
  </si>
  <si>
    <t>Tanque, relé e modulo</t>
  </si>
  <si>
    <t>PARECER COEP: QUAL O MODELO DO EQUIPAMENTO? QUAL A FAIXA DE TENSÃO ? O QUE SERIA SISTEMA DE COMUNICAÇÃO COMPLETO?Troca do sistema de comunicação do equipamentoDMSL 28/07/2025: Equipamento com tanque, modulo e rele com defeito, solicitar troca do equipamento ao DCMD.Fotos vão ser enviadas por e-mail</t>
  </si>
  <si>
    <t>Data entrega 10/07 , ENVIOU UM TANQUE AO INVES DO CONTROLE, ENVIAR CONTROLE DA 24 NOJA</t>
  </si>
  <si>
    <t xml:space="preserve">SOBRA TANQUE 34,5 </t>
  </si>
  <si>
    <t>ETO-RD-PS 00301/2026</t>
  </si>
  <si>
    <t>Previsão de entrega aos COCM's 01/07</t>
  </si>
  <si>
    <t>Relé, controle e ajuste</t>
  </si>
  <si>
    <t>10/07 PARECER COEP: EQUIPAMENTO ENTREGUE , FAVOR REALIZAR SUBSTIUIÇÃO, DEPOIS ENCAMINHAR PARA PROTEÇÃO REALIZAR OS AJUSTES E DEPOIS PARA COMISSIONAMENTO, FAVOR INFORMAR O PRAZO DA PREVISÃO DMSL PARA IREM JUNTOS20/06PARECER COEP: EMD 510216PREVISÃO DE CHEGADA COCM'S 01/07RELIGADOR COM RELÉ QUEIMADO - EQUIPAMENTO BY PASSADO. PARECER DMSL:N° do Equipamento: 7957126085Data: 17/06/2025Localidade: RDU Monte SantoServiço Executado:"Os para raios da fase B e C estão fechando arco na cruzeta. Curto desceu para o controle danificando os componentes. Necessário substituir controle completo, substituir cabo de alimentação da BT e abaixar o tanque para afastar das cruzetas. Solicitar também ao DCMD para verificar se os para raios estão danificados."Ana Maria e Rayr já tinha ido no local anteriormente, na data 14/05/25 e fizeram o diagnostico acima. Equipamento ficou em operação?: NÃO</t>
  </si>
  <si>
    <t>1 celula</t>
  </si>
  <si>
    <t>PARECER COEP: EQUIPAMENTO EM ROTA DE ENTREGAPARECER DMSL: Célula da fase A encontra-se com vazamento de óleo no pé da torneira. Necessário substituição da célula.Aberto nota para verificar vazamento de óleo fase A no RT 5844630060 - RDU Nova Olinda</t>
  </si>
  <si>
    <t>ETO-RD-PS 00304/2026</t>
  </si>
  <si>
    <t>Aguardando a criação da Obra para abrir a requisição</t>
  </si>
  <si>
    <t>ETO-PROT 00136</t>
  </si>
  <si>
    <t>PARA AQUISIÇÃO</t>
  </si>
  <si>
    <t>ETO-TELE 972/2026</t>
  </si>
  <si>
    <t>PARECER COEP: PROBLEMA IDENTIFICADO É NA PARTE ATIVA? OU NO RELIGADOR? FAVOR VERIFICAR SE EQUIPAMENTO ESTÁ EM OPERAÇÃO NO SCADA, OU SE É NECESSARIO APENAS A MELHORIA DE ATERRAMENTO 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t>
  </si>
  <si>
    <t>ETO-COEP 00079/2025</t>
  </si>
  <si>
    <t>SEM PARECER TÉCNICO DMSL</t>
  </si>
  <si>
    <t>tanque</t>
  </si>
  <si>
    <t>30/06 PARECER COEP: EQUIPAMENTO SEM PARECER TECNICO DO DMSLSegue nota para envia manutenção substituir tanque do RL-7923927122 em curto, Anomalia identificada desarme das LD, s Palmas / Aparecida e Palmas Taquaruçu, Acesso livre, Tensão 34,5kv, Local RL de Interligação entre 424R / 414R.</t>
  </si>
  <si>
    <t>Revisar</t>
  </si>
  <si>
    <t>(REPASSAR NOVAMENTE A ANÁLISE DO DMSL)</t>
  </si>
  <si>
    <t>Parte ativa danificada</t>
  </si>
  <si>
    <t>ETO-TELE 974/2026</t>
  </si>
  <si>
    <t>PARECER COEP: FAVOR REAVALIAR DISPONIBILIDADE DO EQUIPAMENTO DO SCADA E DIZER MARCA ,MODELO E TENSÃO DO EQUIPAMENTOPARECER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t>
  </si>
  <si>
    <t>Parte ativa danificada (tanque)</t>
  </si>
  <si>
    <t>ETO-TELE 964/2026</t>
  </si>
  <si>
    <t>ETO-TELE 969/2026</t>
  </si>
  <si>
    <t>Em proceso de Aquisição</t>
  </si>
  <si>
    <t>Em Operação confirmado com os COCM's</t>
  </si>
  <si>
    <t>Em processo logistico</t>
  </si>
  <si>
    <t>Aguardando geração da EMD</t>
  </si>
  <si>
    <t>Levar para analise de religadores furtados no Sul</t>
  </si>
  <si>
    <t>PARECER COEP: EQUIPAMENTO FURTADO LEVAR PARA ANÁLISE COM O LEANDRO, NO ENTANTO SEGUE NA CATEGORIA DE COMPRA.Favor levar outro regulador de tensão, pois o mesmo foi furtado em campo.</t>
  </si>
  <si>
    <t>ETO-TELE 01001/2026</t>
  </si>
  <si>
    <t>13/07/2026 PARECER COEP: SUBSTITUIÇÃO REALZIADA , FAVOR COMISSIONARPARECER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Benvindo----------------------------------------------PARECER DA PROTEÇÃO: Prosseguir com o comissionamento. Ajustes de religador permanecem os mesmos, disponíveis no APP da Proteção.********************************RELIGADOR N°7919270014 REMANEJADO NA OBRA 0212501060 GENTILEZA, REALIZAR O COMISSIONAMENTO. LAUDO EM ANEXO. COORD EO: 617422, 8830787</t>
  </si>
  <si>
    <t>JOELSON PARA´SIO 14/07/2026</t>
  </si>
  <si>
    <t>ETO-RD-PA 00452/2026</t>
  </si>
  <si>
    <t>PROBLEMA NO ENVIO DO MATERIAL</t>
  </si>
  <si>
    <t>TANQUE DA 13,8 + RÁDIO</t>
  </si>
  <si>
    <t>bateria, rádio, trafo (entender sobre bucha da fase A)</t>
  </si>
  <si>
    <t>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t>
  </si>
  <si>
    <t>ETO-RD-DP 403/2025, AGUARDO DO RETORNO</t>
  </si>
  <si>
    <t>Comissionar</t>
  </si>
  <si>
    <t>PARECER COEP: ERRO NA INSTALAÇÃO EQUIPAMENTO SELECIONADO PARA COMPRAPARECER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</si>
  <si>
    <t>ETO-TELE 00940/2026</t>
  </si>
  <si>
    <t>Enviar equipe verificar relé 79, de religamento do Religador 7953211079, o mesmo  não está executando o seu clclo de religamento, desde modo penalizando cargas desnecessariamente, um total de 1438 Clientes penalizados</t>
  </si>
  <si>
    <t>Previsão de Substiuição17/07/2026</t>
  </si>
  <si>
    <t>NumLocal</t>
  </si>
  <si>
    <t>SiglaLocal</t>
  </si>
  <si>
    <t>NomeLocal</t>
  </si>
  <si>
    <t>SiglaPolo</t>
  </si>
  <si>
    <t>NomePoloDEOP</t>
  </si>
  <si>
    <t>NomePoloDESC</t>
  </si>
  <si>
    <t>SiglaRegional</t>
  </si>
  <si>
    <t>ABR</t>
  </si>
  <si>
    <t>ABREULANDIA</t>
  </si>
  <si>
    <t>DIV</t>
  </si>
  <si>
    <t>AGU</t>
  </si>
  <si>
    <t>AGUIARNOPOLIS</t>
  </si>
  <si>
    <t>TOC</t>
  </si>
  <si>
    <t>ALI</t>
  </si>
  <si>
    <t>ALIANCA DO TOCANTINS</t>
  </si>
  <si>
    <t>GUR</t>
  </si>
  <si>
    <t>ALM</t>
  </si>
  <si>
    <t>DIA</t>
  </si>
  <si>
    <t>ALT</t>
  </si>
  <si>
    <t>ALTAMIRA</t>
  </si>
  <si>
    <t>ALTO DO ZUMBI</t>
  </si>
  <si>
    <t>AUG</t>
  </si>
  <si>
    <t>ALTO LINDO</t>
  </si>
  <si>
    <t>GUA</t>
  </si>
  <si>
    <t>ALV</t>
  </si>
  <si>
    <t>FOR</t>
  </si>
  <si>
    <t>AMA</t>
  </si>
  <si>
    <t>AMARALINA</t>
  </si>
  <si>
    <t>ANA</t>
  </si>
  <si>
    <t>ANANAS</t>
  </si>
  <si>
    <t>ANG</t>
  </si>
  <si>
    <t>ANGICO</t>
  </si>
  <si>
    <t>APA</t>
  </si>
  <si>
    <t>TAQ</t>
  </si>
  <si>
    <t>API</t>
  </si>
  <si>
    <t>APINAJE</t>
  </si>
  <si>
    <t>PEI</t>
  </si>
  <si>
    <t>ARA</t>
  </si>
  <si>
    <t>ARACULANDIA</t>
  </si>
  <si>
    <t>ARAGUANA</t>
  </si>
  <si>
    <t>COL</t>
  </si>
  <si>
    <t>ARR</t>
  </si>
  <si>
    <t>AUR</t>
  </si>
  <si>
    <t>AXI</t>
  </si>
  <si>
    <t>AXIXA DO TOCANTINS</t>
  </si>
  <si>
    <t>AZU</t>
  </si>
  <si>
    <t>AZUIS</t>
  </si>
  <si>
    <t>BAB</t>
  </si>
  <si>
    <t>BAI</t>
  </si>
  <si>
    <t>BAIANOPOLIS</t>
  </si>
  <si>
    <t>BAN</t>
  </si>
  <si>
    <t>BAR</t>
  </si>
  <si>
    <t>BARRA DA AROEIRA</t>
  </si>
  <si>
    <t>BARRA DA GROTA</t>
  </si>
  <si>
    <t>BARRA DO OURO</t>
  </si>
  <si>
    <t>MIR</t>
  </si>
  <si>
    <t>BEL</t>
  </si>
  <si>
    <t>BELA VISTA</t>
  </si>
  <si>
    <t>BER</t>
  </si>
  <si>
    <t>BERNARDO SAYAO</t>
  </si>
  <si>
    <t>BIE</t>
  </si>
  <si>
    <t>BIELANDIA</t>
  </si>
  <si>
    <t>BOA</t>
  </si>
  <si>
    <t>BOA ESPERANCA</t>
  </si>
  <si>
    <t>BOM</t>
  </si>
  <si>
    <t>BOM JESUS DO TOCANTINS</t>
  </si>
  <si>
    <t>BON</t>
  </si>
  <si>
    <t>BONFIM</t>
  </si>
  <si>
    <t>BRA</t>
  </si>
  <si>
    <t>BRASILENE</t>
  </si>
  <si>
    <t>BRE</t>
  </si>
  <si>
    <t>BREJINHO</t>
  </si>
  <si>
    <t>BREJINHO DE NAZARE</t>
  </si>
  <si>
    <t>POR</t>
  </si>
  <si>
    <t>BUR</t>
  </si>
  <si>
    <t>BURITI DO TOCANTINS</t>
  </si>
  <si>
    <t>BURITIRANA</t>
  </si>
  <si>
    <t>CAC</t>
  </si>
  <si>
    <t>CACHOEIRINHA</t>
  </si>
  <si>
    <t>CAM</t>
  </si>
  <si>
    <t>CAMPINA VERDE</t>
  </si>
  <si>
    <t>PAR</t>
  </si>
  <si>
    <t>CAMPO MAIOR</t>
  </si>
  <si>
    <t>CAN</t>
  </si>
  <si>
    <t>CANELAS</t>
  </si>
  <si>
    <t>PAL</t>
  </si>
  <si>
    <t>CANTO DA VAZANTE</t>
  </si>
  <si>
    <t>CAR</t>
  </si>
  <si>
    <t>CARIRI DO TOCANTINS</t>
  </si>
  <si>
    <t>CARMOLANDIA</t>
  </si>
  <si>
    <t>CARRASCO BONITO</t>
  </si>
  <si>
    <t>CAS</t>
  </si>
  <si>
    <t>CAT</t>
  </si>
  <si>
    <t>CATINGUEIRO</t>
  </si>
  <si>
    <t>CEN</t>
  </si>
  <si>
    <t>CENTRO DE URUE</t>
  </si>
  <si>
    <t>CENTRO DO ZE MULATO</t>
  </si>
  <si>
    <t>CENTRO DOS FERREIRAS</t>
  </si>
  <si>
    <t>CENTRO DOS FIRMINOS</t>
  </si>
  <si>
    <t>CENTRO DOS MAMEDES</t>
  </si>
  <si>
    <t>CENTRO JOSE ESTEVES</t>
  </si>
  <si>
    <t>CHA</t>
  </si>
  <si>
    <t>CHAPADA DE AREIA</t>
  </si>
  <si>
    <t>COM</t>
  </si>
  <si>
    <t>COMBINADO</t>
  </si>
  <si>
    <t>CON</t>
  </si>
  <si>
    <t>COU</t>
  </si>
  <si>
    <t>COUTO VELHO</t>
  </si>
  <si>
    <t>CRI</t>
  </si>
  <si>
    <t>CRISTALANDIA</t>
  </si>
  <si>
    <t>CRIXAS DO TOCANTINS</t>
  </si>
  <si>
    <t>DAR</t>
  </si>
  <si>
    <t>DARCINOPOLIS</t>
  </si>
  <si>
    <t>DOI</t>
  </si>
  <si>
    <t>DOR</t>
  </si>
  <si>
    <t>DORILANDIA</t>
  </si>
  <si>
    <t>DUE</t>
  </si>
  <si>
    <t>ESC</t>
  </si>
  <si>
    <t>ESCOLA BRASIL</t>
  </si>
  <si>
    <t>ESP</t>
  </si>
  <si>
    <t>FAT</t>
  </si>
  <si>
    <t>FATIMA</t>
  </si>
  <si>
    <t>FIG</t>
  </si>
  <si>
    <t>FIL</t>
  </si>
  <si>
    <t>FILADELFIA</t>
  </si>
  <si>
    <t>FLO</t>
  </si>
  <si>
    <t>FLORESTA</t>
  </si>
  <si>
    <t>FOL</t>
  </si>
  <si>
    <t>FOLHA GROSSA</t>
  </si>
  <si>
    <t>FOLHA SECA</t>
  </si>
  <si>
    <t>FORTALEZA DO TABOCAO</t>
  </si>
  <si>
    <t>FRA</t>
  </si>
  <si>
    <t>FRANCOESA</t>
  </si>
  <si>
    <t>GOI</t>
  </si>
  <si>
    <t>GOIANY DOS CAMPOS</t>
  </si>
  <si>
    <t>GRO</t>
  </si>
  <si>
    <t>GROTA D'AGUA</t>
  </si>
  <si>
    <t>GROTA DO MEIO</t>
  </si>
  <si>
    <t>GROTAO</t>
  </si>
  <si>
    <t>GROTAO DE AXIXA</t>
  </si>
  <si>
    <t>ILH</t>
  </si>
  <si>
    <t>ILHA DO BANANAL</t>
  </si>
  <si>
    <t>IPU</t>
  </si>
  <si>
    <t>IPUEIRAS</t>
  </si>
  <si>
    <t>ITA</t>
  </si>
  <si>
    <t>ITACAJA</t>
  </si>
  <si>
    <t>ITAGUATINS</t>
  </si>
  <si>
    <t>ITAPORA DO TOCANTINS</t>
  </si>
  <si>
    <t>ITAUBA</t>
  </si>
  <si>
    <t>JAC</t>
  </si>
  <si>
    <t>JACILANDIA</t>
  </si>
  <si>
    <t>JAU</t>
  </si>
  <si>
    <t>JAU DO TOCANTINS</t>
  </si>
  <si>
    <t>JUA</t>
  </si>
  <si>
    <t>JUARINA</t>
  </si>
  <si>
    <t>JUV</t>
  </si>
  <si>
    <t>JUVERLANDIA</t>
  </si>
  <si>
    <t>LAG</t>
  </si>
  <si>
    <t>LAGO VERDE</t>
  </si>
  <si>
    <t>LAGOA DA CONFUSAO</t>
  </si>
  <si>
    <t>LAGOA DA PEDRA</t>
  </si>
  <si>
    <t>LAGOA DO ROMAO</t>
  </si>
  <si>
    <t>LAGOA SAO SALVADOR</t>
  </si>
  <si>
    <t>LAJ</t>
  </si>
  <si>
    <t>LAJEADO</t>
  </si>
  <si>
    <t>LAV</t>
  </si>
  <si>
    <t>LAVANDEIRA</t>
  </si>
  <si>
    <t>LIZ</t>
  </si>
  <si>
    <t>LIZARDA</t>
  </si>
  <si>
    <t>LUZ</t>
  </si>
  <si>
    <t>LUZINOPOLIS</t>
  </si>
  <si>
    <t>MAC</t>
  </si>
  <si>
    <t>MACAUBA</t>
  </si>
  <si>
    <t>MAN</t>
  </si>
  <si>
    <t>MANGUEIRA</t>
  </si>
  <si>
    <t>MANSINHA</t>
  </si>
  <si>
    <t>MAR</t>
  </si>
  <si>
    <t>MARAJA</t>
  </si>
  <si>
    <t>MARILANDIA</t>
  </si>
  <si>
    <t>MARTINOPOLIS</t>
  </si>
  <si>
    <t>MAT</t>
  </si>
  <si>
    <t>PON</t>
  </si>
  <si>
    <t>MATO REDONDO</t>
  </si>
  <si>
    <t>MAU</t>
  </si>
  <si>
    <t>MIM</t>
  </si>
  <si>
    <t>MIMOSA DOS MOREIRA</t>
  </si>
  <si>
    <t>MIN</t>
  </si>
  <si>
    <t>MINEIROPOLIS</t>
  </si>
  <si>
    <t>MIRANDOPOLIS</t>
  </si>
  <si>
    <t>MIRANORTE</t>
  </si>
  <si>
    <t>MON</t>
  </si>
  <si>
    <t>MOR</t>
  </si>
  <si>
    <t>MORADA NOVA</t>
  </si>
  <si>
    <t>MORRO SAO JOAO</t>
  </si>
  <si>
    <t>MUR</t>
  </si>
  <si>
    <t>MURICILANDIA</t>
  </si>
  <si>
    <t>NAT</t>
  </si>
  <si>
    <t>NAZ</t>
  </si>
  <si>
    <t>NAZARE</t>
  </si>
  <si>
    <t>NOV</t>
  </si>
  <si>
    <t>NOVA PINHEROPOLIS</t>
  </si>
  <si>
    <t>NOVA ROSALANDIA</t>
  </si>
  <si>
    <t>NOVO ALEGRE</t>
  </si>
  <si>
    <t>NOVO HORIZONTE</t>
  </si>
  <si>
    <t>NOVO HORIZONTE DO TOCANTINS</t>
  </si>
  <si>
    <t>NOVO HORIZONTE DO TOCANTINS I</t>
  </si>
  <si>
    <t>NOVO PLANO</t>
  </si>
  <si>
    <t>OLH</t>
  </si>
  <si>
    <t>OLHO D'AGUA</t>
  </si>
  <si>
    <t>OLI</t>
  </si>
  <si>
    <t>OLIVEIRA DE FATIMA</t>
  </si>
  <si>
    <t>PALMEIROPOLIS</t>
  </si>
  <si>
    <t>PAU</t>
  </si>
  <si>
    <t>PAU D'ARCO</t>
  </si>
  <si>
    <t>PED</t>
  </si>
  <si>
    <t>PEDRA DE AMOLAR</t>
  </si>
  <si>
    <t>PEIXELANDIA</t>
  </si>
  <si>
    <t>PEQ</t>
  </si>
  <si>
    <t>PEQUIZEIRO DO AXIXA</t>
  </si>
  <si>
    <t>PIA</t>
  </si>
  <si>
    <t>PIACAVA</t>
  </si>
  <si>
    <t>PIN</t>
  </si>
  <si>
    <t>PIR</t>
  </si>
  <si>
    <t>PIU</t>
  </si>
  <si>
    <t>PONTA DO ASFALTO</t>
  </si>
  <si>
    <t>PORTO ALEGRE DO TOCANTINS</t>
  </si>
  <si>
    <t>PORTO LEMOS</t>
  </si>
  <si>
    <t>POV</t>
  </si>
  <si>
    <t>POVOADO BANDEIRA</t>
  </si>
  <si>
    <t>POVOADO BURITI SAO MIGUEL</t>
  </si>
  <si>
    <t>POVOADO CACHOEIRINHA</t>
  </si>
  <si>
    <t>POVOADO CANA BRAVA</t>
  </si>
  <si>
    <t>POVOADO CENTRO DOS BORGES</t>
  </si>
  <si>
    <t>POVOADO CENTRO NOVO</t>
  </si>
  <si>
    <t>POVOADO CEORTA</t>
  </si>
  <si>
    <t>POVOADO CHAPADINHA</t>
  </si>
  <si>
    <t>POVOADO DEZENOVE</t>
  </si>
  <si>
    <t>POVOADO DO BROCO</t>
  </si>
  <si>
    <t>POVOADO DO RODEADORO</t>
  </si>
  <si>
    <t>POVOADO DOS BARROS</t>
  </si>
  <si>
    <t>POVOADO GENIPAPO</t>
  </si>
  <si>
    <t>POVOADO IMBURANA</t>
  </si>
  <si>
    <t>POVOADO JACARE</t>
  </si>
  <si>
    <t>POVOADO MATA GRANDE</t>
  </si>
  <si>
    <t>POVOADO MATINHA</t>
  </si>
  <si>
    <t>POVOADO MUMBUCA</t>
  </si>
  <si>
    <t>POVOADO OLHO D'AGUA</t>
  </si>
  <si>
    <t>POVOADO OLHO D'AGUA MEIO</t>
  </si>
  <si>
    <t>POVOADO PAPACONHA</t>
  </si>
  <si>
    <t>POVOADO PASSARINHO</t>
  </si>
  <si>
    <t>POVOADO PONTES</t>
  </si>
  <si>
    <t>POVOADO RIBEIRAO GRANDE II</t>
  </si>
  <si>
    <t>POVOADO RIBEIRAO GRANDE III</t>
  </si>
  <si>
    <t>POVOADO RIBEIRAOZINHO</t>
  </si>
  <si>
    <t>POVOADO SAO FRANCISCO</t>
  </si>
  <si>
    <t>POVOADO SAO JOAO</t>
  </si>
  <si>
    <t>POVOADO SAO PEDRO</t>
  </si>
  <si>
    <t>POVOADO SOROROCA</t>
  </si>
  <si>
    <t>PRA</t>
  </si>
  <si>
    <t>PRAIA NORTE</t>
  </si>
  <si>
    <t>PRE</t>
  </si>
  <si>
    <t>PRESIDENTE KENNEDY</t>
  </si>
  <si>
    <t>PRI</t>
  </si>
  <si>
    <t>PRINCIPE</t>
  </si>
  <si>
    <t>PUG</t>
  </si>
  <si>
    <t>QUI</t>
  </si>
  <si>
    <t>QUIXABEIRA</t>
  </si>
  <si>
    <t>REC</t>
  </si>
  <si>
    <t>RECURSOLANDIA</t>
  </si>
  <si>
    <t>RET</t>
  </si>
  <si>
    <t>RETIRO</t>
  </si>
  <si>
    <t>RIA</t>
  </si>
  <si>
    <t>RIACHINHO</t>
  </si>
  <si>
    <t>RIB</t>
  </si>
  <si>
    <t>RIBEIRAO GRANDE</t>
  </si>
  <si>
    <t>RIO</t>
  </si>
  <si>
    <t>RIO DA CONCEICAO</t>
  </si>
  <si>
    <t>ROS</t>
  </si>
  <si>
    <t>ROSALANDIA</t>
  </si>
  <si>
    <t>SAL</t>
  </si>
  <si>
    <t>SALVACAO</t>
  </si>
  <si>
    <t>SAM</t>
  </si>
  <si>
    <t>SAMPAIO</t>
  </si>
  <si>
    <t>SAN</t>
  </si>
  <si>
    <t>SANDOLANDIA</t>
  </si>
  <si>
    <t>SANTA CECILIA</t>
  </si>
  <si>
    <t>SANTA INEZ</t>
  </si>
  <si>
    <t>SANTA MARIA DO TOCANTINS</t>
  </si>
  <si>
    <t>SANTA ROSA PARAISO</t>
  </si>
  <si>
    <t>SANTA TEREZA DO TOCANTINS</t>
  </si>
  <si>
    <t>SANTA TEREZINHA DO TOCANTINS</t>
  </si>
  <si>
    <t>SANTANA</t>
  </si>
  <si>
    <t>SAO</t>
  </si>
  <si>
    <t>SAO FELIX DO TOCANTINS</t>
  </si>
  <si>
    <t>SAO FRANCISCO</t>
  </si>
  <si>
    <t>SAO JOAO</t>
  </si>
  <si>
    <t>SAO JOAO DO ARAGUAIA</t>
  </si>
  <si>
    <t>SAO JOAO DO JAVAE</t>
  </si>
  <si>
    <t>SAO LUIZ DAS PALMEIRAS</t>
  </si>
  <si>
    <t>SAO MIGUEL DO TOCANTINS</t>
  </si>
  <si>
    <t>SAO RAIMUNDO</t>
  </si>
  <si>
    <t>SAO SEBASTIAO</t>
  </si>
  <si>
    <t>SAO SEBASTIAO DO TOCANTINS</t>
  </si>
  <si>
    <t>SER</t>
  </si>
  <si>
    <t>SERRANOPOLIS</t>
  </si>
  <si>
    <t>SIL</t>
  </si>
  <si>
    <t>SIT</t>
  </si>
  <si>
    <t>SITIO NOVO DO TOCANTINS</t>
  </si>
  <si>
    <t>SOB</t>
  </si>
  <si>
    <t>SOBRADINHO</t>
  </si>
  <si>
    <t>SUC</t>
  </si>
  <si>
    <t>SUCUPIRA</t>
  </si>
  <si>
    <t>SUM</t>
  </si>
  <si>
    <t>SUMAUMA</t>
  </si>
  <si>
    <t>TAG</t>
  </si>
  <si>
    <t>TAI</t>
  </si>
  <si>
    <t>TAL</t>
  </si>
  <si>
    <t>TALISMA</t>
  </si>
  <si>
    <t>TAQUARUSSU DO PORTO</t>
  </si>
  <si>
    <t>TOCANTINIA</t>
  </si>
  <si>
    <t>TRA</t>
  </si>
  <si>
    <t>TRANSARAGUAIA</t>
  </si>
  <si>
    <t>TRE</t>
  </si>
  <si>
    <t>TREVO DA PRAIA</t>
  </si>
  <si>
    <t>TUC</t>
  </si>
  <si>
    <t>TUCUNS</t>
  </si>
  <si>
    <t>TUP</t>
  </si>
  <si>
    <t>TUPIRATA</t>
  </si>
  <si>
    <t>TUPIRATINS</t>
  </si>
  <si>
    <t>VIL</t>
  </si>
  <si>
    <t>VILA DEPASA</t>
  </si>
  <si>
    <t>VILA LUZIMANGUES</t>
  </si>
  <si>
    <t>VILA SAO MIGUEL</t>
  </si>
  <si>
    <t>VILA UNIAO</t>
  </si>
  <si>
    <t>VILA UNIAO-TALISMA</t>
  </si>
  <si>
    <t>VIN</t>
  </si>
  <si>
    <t>VINTE MIL</t>
  </si>
  <si>
    <t>VINTE MIL - AUGUSTINOPOLIS</t>
  </si>
  <si>
    <t>VINTE MIL - AUGUSTINOPOLIS.</t>
  </si>
  <si>
    <t>WAN</t>
  </si>
  <si>
    <t>XAM</t>
  </si>
  <si>
    <t>XAMBIOA</t>
  </si>
  <si>
    <t>RELIGADOR</t>
  </si>
  <si>
    <t>REGULADOR</t>
  </si>
  <si>
    <t>1º critério</t>
  </si>
  <si>
    <t>Localização</t>
  </si>
  <si>
    <t>Funcionamento por fonte alternativa</t>
  </si>
  <si>
    <t>condições</t>
  </si>
  <si>
    <t>Clientes UB</t>
  </si>
  <si>
    <t>Clientes RR</t>
  </si>
  <si>
    <t xml:space="preserve">Não </t>
  </si>
  <si>
    <t>Não tem</t>
  </si>
  <si>
    <t>pesos</t>
  </si>
  <si>
    <t>2º critério</t>
  </si>
  <si>
    <t>Quantidade de clientes</t>
  </si>
  <si>
    <t>Atendimento de RDU</t>
  </si>
  <si>
    <t>Acima de 1000</t>
  </si>
  <si>
    <t>Até 1000</t>
  </si>
  <si>
    <t>Outro RL (RDU)</t>
  </si>
  <si>
    <t>Até 500</t>
  </si>
  <si>
    <t>3º critério</t>
  </si>
  <si>
    <t>Clientes Grupo A</t>
  </si>
  <si>
    <t>Risco do Imagem</t>
  </si>
  <si>
    <t>GA relevante</t>
  </si>
  <si>
    <t>Não relevante</t>
  </si>
  <si>
    <t>Não tem GA</t>
  </si>
  <si>
    <t>4º critério</t>
  </si>
  <si>
    <t>Risco de imagem</t>
  </si>
  <si>
    <t>5º critério</t>
  </si>
  <si>
    <t>Contém fonte alternativa</t>
  </si>
  <si>
    <t>Sensibilidade da operação</t>
  </si>
  <si>
    <t>Tem transferência</t>
  </si>
  <si>
    <t>6º critério</t>
  </si>
  <si>
    <t>Religador de Transferência</t>
  </si>
  <si>
    <t>7º critério</t>
  </si>
  <si>
    <t>Ramal radial</t>
  </si>
  <si>
    <t>8º critério</t>
  </si>
  <si>
    <t>Matriz de criticidade</t>
  </si>
  <si>
    <t>Nível</t>
  </si>
  <si>
    <t>Tipo de equipamento</t>
  </si>
  <si>
    <t>X &gt;= 80</t>
  </si>
  <si>
    <t>X &gt; 80</t>
  </si>
  <si>
    <t>50 &lt;= X &lt; 80</t>
  </si>
  <si>
    <t>60 &lt;= X &lt;= 80</t>
  </si>
  <si>
    <t>30 &lt;= X &lt; 50</t>
  </si>
  <si>
    <t>30 &lt; X &lt; 60</t>
  </si>
  <si>
    <t>X &lt; 30</t>
  </si>
  <si>
    <t>X &lt;=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</si>
</sst>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b/>
      <sz val="10"/>
      <color theme="0"/>
      <name val="Calibri"/>
      <family val="2"/>
    </font>
    <font>
      <b/>
      <sz val="10"/>
      <color theme="1"/>
      <name val="Calibri"/>
      <family val="2"/>
      <scheme val="minor"/>
    </font>
    <font>
      <sz val="10"/>
      <name val="Calibri"/>
      <family val="2"/>
    </font>
    <font>
      <sz val="11"/>
      <color rgb="FFFF0000"/>
      <name val="Calibri"/>
      <family val="2"/>
      <scheme val="minor"/>
    </font>
    <font>
      <sz val="9"/>
      <color theme="1"/>
      <name val="Segoe UI"/>
      <family val="2"/>
    </font>
    <font>
      <u/>
      <sz val="11"/>
      <color theme="10"/>
      <name val="Calibri"/>
      <family val="2"/>
      <scheme val="minor"/>
    </font>
    <font>
      <b/>
      <sz val="11"/>
      <color theme="0"/>
      <name val="Aptos Narrow"/>
      <family val="2"/>
      <scheme val="minor"/>
    </font>
    <font>
      <b/>
      <sz val="11"/>
      <color theme="9"/>
      <name val="Aptos Narrow"/>
      <family val="2"/>
      <scheme val="minor"/>
    </font>
    <font>
      <sz val="11"/>
      <name val="Aptos Narrow"/>
      <family val="2"/>
      <scheme val="minor"/>
    </font>
    <font>
      <sz val="11"/>
      <color rgb="FF000000"/>
      <name val="Aptos Narrow"/>
      <family val="2"/>
      <scheme val="minor"/>
    </font>
    <font>
      <sz val="11"/>
      <color rgb="FFFF0000"/>
      <name val="Aptos Narrow"/>
      <family val="2"/>
      <scheme val="minor"/>
    </font>
    <font>
      <b/>
      <sz val="11"/>
      <color rgb="FFFF0000"/>
      <name val="Aptos Narrow"/>
      <family val="2"/>
      <scheme val="minor"/>
    </font>
  </fonts>
  <fills count="20">
    <fill>
      <patternFill patternType="none"/>
    </fill>
    <fill>
      <patternFill patternType="gray125"/>
    </fill>
    <fill>
      <patternFill patternType="solid">
        <fgColor theme="3" tint="9.9978637043366805E-2"/>
        <bgColor indexed="64"/>
      </patternFill>
    </fill>
    <fill>
      <patternFill patternType="solid">
        <fgColor theme="0" tint="-0.49998474074526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
      <patternFill patternType="solid">
        <fgColor rgb="FFFFC000"/>
        <bgColor indexed="64"/>
      </patternFill>
    </fill>
    <fill>
      <patternFill patternType="solid">
        <fgColor rgb="FF009FC2"/>
        <bgColor indexed="64"/>
      </patternFill>
    </fill>
    <fill>
      <patternFill patternType="solid">
        <fgColor theme="0" tint="-0.34998626667073579"/>
        <bgColor indexed="64"/>
      </patternFill>
    </fill>
    <fill>
      <patternFill patternType="solid">
        <fgColor theme="9"/>
        <bgColor indexed="64"/>
      </patternFill>
    </fill>
    <fill>
      <patternFill patternType="solid">
        <fgColor rgb="FFFF0000"/>
        <bgColor indexed="64"/>
      </patternFill>
    </fill>
    <fill>
      <patternFill patternType="solid">
        <fgColor theme="0"/>
        <bgColor indexed="64"/>
      </patternFill>
    </fill>
    <fill>
      <patternFill patternType="solid">
        <fgColor theme="7"/>
        <bgColor indexed="64"/>
      </patternFill>
    </fill>
    <fill>
      <patternFill patternType="solid">
        <fgColor rgb="FF00B0F0"/>
        <bgColor indexed="64"/>
      </patternFill>
    </fill>
    <fill>
      <patternFill patternType="solid">
        <fgColor rgb="FF0070C0"/>
        <bgColor indexed="64"/>
      </patternFill>
    </fill>
    <fill>
      <patternFill patternType="solid">
        <fgColor theme="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9" tint="-0.249977111117893"/>
        <bgColor indexed="64"/>
      </patternFill>
    </fill>
  </fills>
  <borders count="23">
    <border>
      <left/>
      <right/>
      <top/>
      <bottom/>
      <diagonal/>
    </border>
    <border>
      <left/>
      <right/>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0" tint="-0.14999847407452621"/>
      </right>
      <top style="thin">
        <color theme="0" tint="-0.14999847407452621"/>
      </top>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right style="thin">
        <color theme="0"/>
      </right>
      <top style="thin">
        <color theme="0"/>
      </top>
      <bottom/>
      <diagonal/>
    </border>
    <border>
      <left/>
      <right style="thin">
        <color theme="0" tint="-0.14999847407452621"/>
      </right>
      <top/>
      <bottom/>
      <diagonal/>
    </border>
    <border>
      <left/>
      <right style="thin">
        <color theme="0" tint="-0.14999847407452621"/>
      </right>
      <top style="thin">
        <color theme="0"/>
      </top>
      <bottom/>
      <diagonal/>
    </border>
    <border>
      <left style="thin">
        <color theme="0" tint="-0.14999847407452621"/>
      </left>
      <right style="thin">
        <color theme="0"/>
      </right>
      <top style="thin">
        <color theme="0"/>
      </top>
      <bottom style="thin">
        <color theme="0"/>
      </bottom>
      <diagonal/>
    </border>
    <border>
      <left style="thin">
        <color theme="0"/>
      </left>
      <right style="thin">
        <color theme="0" tint="-0.14999847407452621"/>
      </right>
      <top style="thin">
        <color theme="0"/>
      </top>
      <bottom style="thin">
        <color theme="0"/>
      </bottom>
      <diagonal/>
    </border>
    <border>
      <left/>
      <right style="thin">
        <color theme="0" tint="-0.14999847407452621"/>
      </right>
      <top style="thin">
        <color theme="0" tint="-0.14999847407452621"/>
      </top>
      <bottom style="thin">
        <color theme="0"/>
      </bottom>
      <diagonal/>
    </border>
    <border>
      <left style="thin">
        <color theme="0"/>
      </left>
      <right style="thin">
        <color theme="0" tint="-0.14999847407452621"/>
      </right>
      <top/>
      <bottom style="thin">
        <color theme="0"/>
      </bottom>
      <diagonal/>
    </border>
    <border>
      <left style="thin">
        <color theme="0"/>
      </left>
      <right/>
      <top/>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9" fillId="0" borderId="0" applyNumberFormat="0" applyFill="0" applyBorder="0" applyAlignment="0" applyProtection="0"/>
  </cellStyleXfs>
  <cellXfs count="123">
    <xf numFmtId="0" fontId="0" fillId="0" borderId="0" xfId="0"/>
    <xf numFmtId="0" fontId="1" fillId="2" borderId="0" xfId="0" applyFont="1" applyFill="1"/>
    <xf numFmtId="0" fontId="2" fillId="0" borderId="0" xfId="0" applyFont="1"/>
    <xf numFmtId="0" fontId="1" fillId="3" borderId="0" xfId="0" applyFont="1" applyFill="1"/>
    <xf numFmtId="0" fontId="0" fillId="0" borderId="0" xfId="0" applyAlignment="1">
      <alignment horizontal="center"/>
    </xf>
    <xf numFmtId="0" fontId="0" fillId="0" borderId="0" xfId="0" applyAlignment="1">
      <alignment horizontal="center" vertical="center"/>
    </xf>
    <xf numFmtId="0" fontId="2" fillId="4" borderId="1" xfId="0" applyFont="1" applyFill="1" applyBorder="1" applyAlignment="1">
      <alignment horizontal="center"/>
    </xf>
    <xf numFmtId="14" fontId="0" fillId="0" borderId="0" xfId="0" applyNumberFormat="1"/>
    <xf numFmtId="0" fontId="0" fillId="0" borderId="3" xfId="0" applyBorder="1" applyAlignment="1">
      <alignment horizontal="center"/>
    </xf>
    <xf numFmtId="14" fontId="0" fillId="0" borderId="0" xfId="0" applyNumberFormat="1" applyAlignment="1">
      <alignment horizontal="center"/>
    </xf>
    <xf numFmtId="0" fontId="0" fillId="0" borderId="0" xfId="0" applyAlignment="1">
      <alignment horizontal="left"/>
    </xf>
    <xf numFmtId="0" fontId="3" fillId="0" borderId="0" xfId="0" applyFont="1" applyAlignment="1">
      <alignment horizontal="center"/>
    </xf>
    <xf numFmtId="0" fontId="0" fillId="7" borderId="0" xfId="0" applyFill="1" applyAlignment="1">
      <alignment horizontal="center"/>
    </xf>
    <xf numFmtId="0" fontId="0" fillId="0" borderId="0" xfId="0" pivotButton="1"/>
    <xf numFmtId="0" fontId="4" fillId="8" borderId="6" xfId="0" applyFont="1" applyFill="1" applyBorder="1" applyAlignment="1">
      <alignment horizontal="center" vertical="center"/>
    </xf>
    <xf numFmtId="0" fontId="5" fillId="0" borderId="9" xfId="0" applyFont="1" applyBorder="1" applyAlignment="1">
      <alignment horizontal="center"/>
    </xf>
    <xf numFmtId="0" fontId="5" fillId="0" borderId="8" xfId="0" applyFont="1" applyBorder="1" applyAlignment="1">
      <alignment horizontal="center"/>
    </xf>
    <xf numFmtId="0" fontId="4" fillId="8" borderId="10" xfId="0" applyFont="1" applyFill="1" applyBorder="1" applyAlignment="1">
      <alignment horizontal="center" vertical="center"/>
    </xf>
    <xf numFmtId="0" fontId="4" fillId="8" borderId="11" xfId="0" applyFont="1" applyFill="1" applyBorder="1" applyAlignment="1">
      <alignment horizontal="center" vertical="center"/>
    </xf>
    <xf numFmtId="0" fontId="4" fillId="8" borderId="13" xfId="0" applyFont="1" applyFill="1" applyBorder="1" applyAlignment="1">
      <alignment horizontal="center" vertical="center"/>
    </xf>
    <xf numFmtId="0" fontId="0" fillId="0" borderId="14" xfId="0" applyBorder="1"/>
    <xf numFmtId="0" fontId="4" fillId="8" borderId="15" xfId="0" applyFont="1" applyFill="1" applyBorder="1" applyAlignment="1">
      <alignment horizontal="center" vertical="center"/>
    </xf>
    <xf numFmtId="0" fontId="4" fillId="9" borderId="15" xfId="0" applyFont="1" applyFill="1" applyBorder="1" applyAlignment="1">
      <alignment horizontal="center" vertical="center"/>
    </xf>
    <xf numFmtId="0" fontId="6" fillId="0" borderId="9" xfId="0" applyFont="1" applyBorder="1" applyAlignment="1">
      <alignment horizontal="center" vertical="center" wrapText="1"/>
    </xf>
    <xf numFmtId="0" fontId="6" fillId="0" borderId="8" xfId="0" applyFont="1" applyBorder="1" applyAlignment="1">
      <alignment horizontal="center" vertical="center" wrapText="1"/>
    </xf>
    <xf numFmtId="0" fontId="6" fillId="0" borderId="4" xfId="0" applyFont="1" applyBorder="1" applyAlignment="1">
      <alignment horizontal="center" vertical="center" wrapText="1"/>
    </xf>
    <xf numFmtId="0" fontId="6" fillId="0" borderId="12" xfId="0" applyFont="1" applyBorder="1" applyAlignment="1">
      <alignment horizontal="center" vertical="center" wrapText="1"/>
    </xf>
    <xf numFmtId="0" fontId="2" fillId="6" borderId="0" xfId="0" applyFont="1" applyFill="1"/>
    <xf numFmtId="0" fontId="0" fillId="11" borderId="0" xfId="0" applyFill="1" applyAlignment="1">
      <alignment horizontal="center"/>
    </xf>
    <xf numFmtId="0" fontId="0" fillId="0" borderId="0" xfId="0" applyAlignment="1">
      <alignment horizontal="left" vertical="center"/>
    </xf>
    <xf numFmtId="0" fontId="0" fillId="0" borderId="0" xfId="0" applyAlignment="1">
      <alignment horizontal="right"/>
    </xf>
    <xf numFmtId="0" fontId="0" fillId="0" borderId="0" xfId="0" applyAlignment="1">
      <alignment horizontal="right" vertical="center"/>
    </xf>
    <xf numFmtId="0" fontId="0" fillId="12" borderId="0" xfId="0" applyFill="1"/>
    <xf numFmtId="0" fontId="0" fillId="13" borderId="0" xfId="0" applyFill="1"/>
    <xf numFmtId="0" fontId="0" fillId="10" borderId="0" xfId="0" applyFill="1"/>
    <xf numFmtId="0" fontId="7" fillId="11" borderId="0" xfId="0" applyFont="1" applyFill="1"/>
    <xf numFmtId="0" fontId="0" fillId="11" borderId="0" xfId="0" applyFill="1"/>
    <xf numFmtId="49" fontId="0" fillId="11" borderId="17" xfId="0" applyNumberFormat="1" applyFill="1" applyBorder="1" applyAlignment="1">
      <alignment horizontal="center" vertical="center"/>
    </xf>
    <xf numFmtId="14" fontId="0" fillId="0" borderId="0" xfId="0" applyNumberFormat="1" applyAlignment="1">
      <alignment horizontal="center" vertical="center"/>
    </xf>
    <xf numFmtId="0" fontId="0" fillId="14" borderId="0" xfId="0" applyFill="1" applyAlignment="1">
      <alignment horizontal="center"/>
    </xf>
    <xf numFmtId="0" fontId="0" fillId="12" borderId="0" xfId="0" applyFill="1" applyAlignment="1">
      <alignment horizontal="center"/>
    </xf>
    <xf numFmtId="16" fontId="0" fillId="0" borderId="0" xfId="0" applyNumberFormat="1" applyAlignment="1">
      <alignment horizontal="center"/>
    </xf>
    <xf numFmtId="0" fontId="0" fillId="0" borderId="0" xfId="0" applyAlignment="1">
      <alignment horizontal="left" wrapText="1"/>
    </xf>
    <xf numFmtId="0" fontId="0" fillId="7" borderId="0" xfId="0" applyFill="1" applyAlignment="1">
      <alignment horizontal="center" vertical="center"/>
    </xf>
    <xf numFmtId="0" fontId="0" fillId="7" borderId="0" xfId="0" applyFill="1" applyAlignment="1">
      <alignment horizontal="left" vertical="center"/>
    </xf>
    <xf numFmtId="0" fontId="0" fillId="7" borderId="0" xfId="0" applyFill="1" applyAlignment="1">
      <alignment horizontal="right" vertical="center"/>
    </xf>
    <xf numFmtId="0" fontId="0" fillId="7" borderId="0" xfId="0" applyFill="1"/>
    <xf numFmtId="0" fontId="8" fillId="0" borderId="0" xfId="0" applyFont="1"/>
    <xf numFmtId="0" fontId="0" fillId="0" borderId="0" xfId="0" applyAlignment="1">
      <alignment horizontal="left" indent="1"/>
    </xf>
    <xf numFmtId="0" fontId="9" fillId="0" borderId="0" xfId="1" applyAlignment="1">
      <alignment horizontal="center"/>
    </xf>
    <xf numFmtId="0" fontId="0" fillId="0" borderId="0" xfId="0" applyAlignment="1">
      <alignment horizontal="center" wrapText="1"/>
    </xf>
    <xf numFmtId="0" fontId="1" fillId="5" borderId="2" xfId="0" applyFont="1" applyFill="1" applyBorder="1" applyAlignment="1">
      <alignment horizontal="center"/>
    </xf>
    <xf numFmtId="0" fontId="1" fillId="5" borderId="3" xfId="0" applyFont="1" applyFill="1" applyBorder="1" applyAlignment="1">
      <alignment horizontal="center"/>
    </xf>
    <xf numFmtId="0" fontId="4" fillId="8" borderId="5" xfId="0" applyFont="1" applyFill="1" applyBorder="1" applyAlignment="1">
      <alignment horizontal="center" vertical="center"/>
    </xf>
    <xf numFmtId="0" fontId="4" fillId="9" borderId="7" xfId="0" applyFont="1" applyFill="1" applyBorder="1" applyAlignment="1">
      <alignment horizontal="center" vertical="center"/>
    </xf>
    <xf numFmtId="0" fontId="4" fillId="9" borderId="16" xfId="0" applyFont="1" applyFill="1" applyBorder="1" applyAlignment="1">
      <alignment horizontal="center" vertical="center"/>
    </xf>
    <xf numFmtId="0" fontId="4" fillId="8" borderId="14" xfId="0" applyFont="1" applyFill="1" applyBorder="1" applyAlignment="1">
      <alignment horizontal="center" vertical="center"/>
    </xf>
    <xf numFmtId="0" fontId="4" fillId="8" borderId="6" xfId="0" applyFont="1" applyFill="1" applyBorder="1" applyAlignment="1">
      <alignment horizontal="center" vertical="center"/>
    </xf>
    <xf numFmtId="0" fontId="1" fillId="2" borderId="0" xfId="0" applyFont="1" applyFill="1" applyAlignment="1">
      <alignment horizontal="center"/>
    </xf>
    <xf numFmtId="0" fontId="2" fillId="4" borderId="0" xfId="0" applyFont="1" applyFill="1" applyAlignment="1">
      <alignment horizontal="center"/>
    </xf>
    <xf numFmtId="0" fontId="2" fillId="4" borderId="0" xfId="0" applyFont="1" applyFill="1" applyAlignment="1">
      <alignment horizontal="center" vertical="center"/>
    </xf>
    <xf numFmtId="0" fontId="2" fillId="4" borderId="1" xfId="0" applyFont="1" applyFill="1" applyBorder="1" applyAlignment="1">
      <alignment horizontal="center" vertical="center"/>
    </xf>
    <xf numFmtId="0" fontId="10" fillId="15" borderId="17" xfId="0" applyFont="1" applyFill="1" applyBorder="1" applyAlignment="1">
      <alignment horizontal="center" vertical="center"/>
    </xf>
    <xf numFmtId="0" fontId="10" fillId="16" borderId="17" xfId="0" applyFont="1" applyFill="1" applyBorder="1" applyAlignment="1">
      <alignment horizontal="center" vertical="center"/>
    </xf>
    <xf numFmtId="49" fontId="10" fillId="16" borderId="17" xfId="0" applyNumberFormat="1" applyFont="1" applyFill="1" applyBorder="1" applyAlignment="1">
      <alignment horizontal="center" vertical="center"/>
    </xf>
    <xf numFmtId="0" fontId="10" fillId="15" borderId="17" xfId="0" applyFont="1" applyFill="1" applyBorder="1" applyAlignment="1">
      <alignment horizontal="center" vertical="center" wrapText="1"/>
    </xf>
    <xf numFmtId="0" fontId="10" fillId="16" borderId="17" xfId="0" applyFont="1" applyFill="1" applyBorder="1" applyAlignment="1">
      <alignment horizontal="center" vertical="center" wrapText="1"/>
    </xf>
    <xf numFmtId="49" fontId="10" fillId="16" borderId="17" xfId="0" applyNumberFormat="1" applyFont="1" applyFill="1" applyBorder="1" applyAlignment="1">
      <alignment horizontal="center" vertical="center" wrapText="1"/>
    </xf>
    <xf numFmtId="0" fontId="10" fillId="15" borderId="17" xfId="0" applyFont="1" applyFill="1" applyBorder="1" applyAlignment="1">
      <alignment horizontal="center" vertical="center"/>
    </xf>
    <xf numFmtId="0" fontId="0" fillId="0" borderId="17" xfId="0" applyBorder="1" applyAlignment="1">
      <alignment horizontal="center" vertical="center" wrapText="1"/>
    </xf>
    <xf numFmtId="0" fontId="0" fillId="0" borderId="17" xfId="0" applyBorder="1" applyAlignment="1">
      <alignment horizontal="center" vertical="center"/>
    </xf>
    <xf numFmtId="14" fontId="0" fillId="0" borderId="17" xfId="0" applyNumberFormat="1" applyBorder="1" applyAlignment="1">
      <alignment horizontal="center" vertical="center"/>
    </xf>
    <xf numFmtId="49" fontId="0" fillId="10" borderId="17" xfId="0" applyNumberFormat="1" applyFill="1" applyBorder="1" applyAlignment="1">
      <alignment horizontal="center" vertical="center"/>
    </xf>
    <xf numFmtId="49" fontId="0" fillId="0" borderId="17" xfId="0" applyNumberFormat="1" applyBorder="1" applyAlignment="1">
      <alignment horizontal="center" vertical="center"/>
    </xf>
    <xf numFmtId="0" fontId="0" fillId="17" borderId="17" xfId="0" applyFill="1" applyBorder="1" applyAlignment="1">
      <alignment horizontal="center" vertical="center"/>
    </xf>
    <xf numFmtId="0" fontId="11" fillId="0" borderId="17" xfId="0" applyFont="1" applyBorder="1" applyAlignment="1">
      <alignment horizontal="center" vertical="center"/>
    </xf>
    <xf numFmtId="0" fontId="12" fillId="0" borderId="17" xfId="0" applyFont="1" applyBorder="1" applyAlignment="1">
      <alignment horizontal="center" vertical="center" wrapText="1"/>
    </xf>
    <xf numFmtId="0" fontId="0" fillId="11" borderId="17" xfId="0" applyFill="1" applyBorder="1" applyAlignment="1">
      <alignment horizontal="center" vertical="center"/>
    </xf>
    <xf numFmtId="14" fontId="0" fillId="10" borderId="17" xfId="0" applyNumberFormat="1" applyFill="1" applyBorder="1" applyAlignment="1">
      <alignment horizontal="center" vertical="center"/>
    </xf>
    <xf numFmtId="0" fontId="13" fillId="0" borderId="17" xfId="0" applyFont="1" applyBorder="1" applyAlignment="1">
      <alignment horizontal="center" vertical="center" wrapText="1"/>
    </xf>
    <xf numFmtId="0" fontId="13" fillId="0" borderId="17" xfId="0" applyFont="1" applyBorder="1" applyAlignment="1">
      <alignment horizontal="center" vertical="center"/>
    </xf>
    <xf numFmtId="14" fontId="13" fillId="0" borderId="17" xfId="0" applyNumberFormat="1" applyFont="1" applyBorder="1" applyAlignment="1">
      <alignment horizontal="center" vertical="center"/>
    </xf>
    <xf numFmtId="49" fontId="13" fillId="6" borderId="17" xfId="0" applyNumberFormat="1" applyFont="1" applyFill="1" applyBorder="1" applyAlignment="1">
      <alignment horizontal="center" vertical="center"/>
    </xf>
    <xf numFmtId="49" fontId="13" fillId="0" borderId="17" xfId="0" applyNumberFormat="1" applyFont="1" applyBorder="1" applyAlignment="1">
      <alignment horizontal="center" vertical="center"/>
    </xf>
    <xf numFmtId="0" fontId="14" fillId="0" borderId="17" xfId="0" applyFont="1" applyBorder="1" applyAlignment="1">
      <alignment horizontal="center" vertical="center"/>
    </xf>
    <xf numFmtId="0" fontId="13" fillId="18" borderId="17" xfId="0" applyFont="1" applyFill="1" applyBorder="1" applyAlignment="1">
      <alignment horizontal="center" vertical="center"/>
    </xf>
    <xf numFmtId="14" fontId="0" fillId="19" borderId="17" xfId="0" applyNumberFormat="1" applyFill="1" applyBorder="1" applyAlignment="1">
      <alignment horizontal="center" vertical="center"/>
    </xf>
    <xf numFmtId="49" fontId="0" fillId="6" borderId="17" xfId="0" applyNumberFormat="1" applyFill="1" applyBorder="1" applyAlignment="1">
      <alignment horizontal="center" vertical="center"/>
    </xf>
    <xf numFmtId="0" fontId="12" fillId="0" borderId="17" xfId="0" applyFont="1" applyBorder="1" applyAlignment="1">
      <alignment horizontal="center" vertical="center"/>
    </xf>
    <xf numFmtId="14" fontId="0" fillId="7" borderId="17" xfId="0" applyNumberFormat="1" applyFill="1" applyBorder="1" applyAlignment="1">
      <alignment horizontal="center" vertical="center"/>
    </xf>
    <xf numFmtId="49" fontId="0" fillId="7" borderId="17" xfId="0" applyNumberFormat="1" applyFill="1" applyBorder="1" applyAlignment="1">
      <alignment horizontal="center" vertical="center"/>
    </xf>
    <xf numFmtId="0" fontId="0" fillId="18" borderId="17" xfId="0" applyFill="1" applyBorder="1" applyAlignment="1">
      <alignment horizontal="center" vertical="center"/>
    </xf>
    <xf numFmtId="49" fontId="0" fillId="7" borderId="17" xfId="0" quotePrefix="1" applyNumberFormat="1" applyFill="1" applyBorder="1" applyAlignment="1">
      <alignment horizontal="center" vertical="center"/>
    </xf>
    <xf numFmtId="49" fontId="0" fillId="0" borderId="17" xfId="0" quotePrefix="1" applyNumberFormat="1" applyBorder="1" applyAlignment="1">
      <alignment horizontal="center" vertical="center"/>
    </xf>
    <xf numFmtId="0" fontId="0" fillId="0" borderId="17" xfId="0" quotePrefix="1" applyBorder="1" applyAlignment="1">
      <alignment horizontal="center" vertical="center"/>
    </xf>
    <xf numFmtId="0" fontId="0" fillId="7" borderId="17" xfId="0" applyFill="1" applyBorder="1" applyAlignment="1">
      <alignment horizontal="center" vertical="center" wrapText="1"/>
    </xf>
    <xf numFmtId="0" fontId="11" fillId="0" borderId="17" xfId="0" applyFont="1" applyBorder="1" applyAlignment="1">
      <alignment horizontal="center" vertical="center" wrapText="1"/>
    </xf>
    <xf numFmtId="0" fontId="0" fillId="7" borderId="17" xfId="0" applyFill="1" applyBorder="1" applyAlignment="1">
      <alignment horizontal="center" vertical="center"/>
    </xf>
    <xf numFmtId="0" fontId="0" fillId="12" borderId="17" xfId="0" applyFill="1" applyBorder="1" applyAlignment="1">
      <alignment horizontal="center" vertical="center" wrapText="1"/>
    </xf>
    <xf numFmtId="49" fontId="0" fillId="11" borderId="0" xfId="0" applyNumberFormat="1" applyFill="1" applyAlignment="1">
      <alignment horizontal="center" vertical="center"/>
    </xf>
    <xf numFmtId="0" fontId="15" fillId="0" borderId="17" xfId="0" applyFont="1" applyBorder="1" applyAlignment="1">
      <alignment horizontal="center" vertical="center"/>
    </xf>
    <xf numFmtId="49" fontId="0" fillId="7" borderId="18" xfId="0" applyNumberFormat="1" applyFill="1" applyBorder="1" applyAlignment="1">
      <alignment horizontal="center" vertical="center"/>
    </xf>
    <xf numFmtId="49" fontId="0" fillId="10" borderId="18" xfId="0" applyNumberFormat="1" applyFill="1" applyBorder="1" applyAlignment="1">
      <alignment horizontal="center" vertical="center"/>
    </xf>
    <xf numFmtId="0" fontId="0" fillId="12" borderId="17" xfId="0" applyFill="1" applyBorder="1" applyAlignment="1">
      <alignment horizontal="center" vertical="center"/>
    </xf>
    <xf numFmtId="14" fontId="0" fillId="12" borderId="17" xfId="0" applyNumberFormat="1" applyFill="1" applyBorder="1" applyAlignment="1">
      <alignment horizontal="center" vertical="center"/>
    </xf>
    <xf numFmtId="14" fontId="0" fillId="12" borderId="19" xfId="0" applyNumberFormat="1" applyFill="1" applyBorder="1" applyAlignment="1">
      <alignment horizontal="center" vertical="center"/>
    </xf>
    <xf numFmtId="49" fontId="0" fillId="11" borderId="17" xfId="0" applyNumberFormat="1" applyFill="1" applyBorder="1" applyAlignment="1">
      <alignment horizontal="center" vertical="center" wrapText="1"/>
    </xf>
    <xf numFmtId="49" fontId="0" fillId="10" borderId="20" xfId="0" applyNumberFormat="1" applyFill="1" applyBorder="1" applyAlignment="1">
      <alignment horizontal="center" vertical="center" wrapText="1"/>
    </xf>
    <xf numFmtId="0" fontId="0" fillId="12" borderId="20" xfId="0" applyFill="1" applyBorder="1" applyAlignment="1">
      <alignment horizontal="center" vertical="center" wrapText="1"/>
    </xf>
    <xf numFmtId="49" fontId="0" fillId="7" borderId="21" xfId="0" applyNumberFormat="1" applyFill="1" applyBorder="1" applyAlignment="1">
      <alignment horizontal="center" vertical="center"/>
    </xf>
    <xf numFmtId="49" fontId="0" fillId="11" borderId="21" xfId="0" applyNumberFormat="1" applyFill="1" applyBorder="1" applyAlignment="1">
      <alignment horizontal="center" vertical="center"/>
    </xf>
    <xf numFmtId="49" fontId="0" fillId="11" borderId="17" xfId="0" quotePrefix="1" applyNumberFormat="1" applyFill="1" applyBorder="1" applyAlignment="1">
      <alignment horizontal="center" vertical="center"/>
    </xf>
    <xf numFmtId="0" fontId="0" fillId="0" borderId="0" xfId="0" quotePrefix="1" applyAlignment="1">
      <alignment horizontal="center" vertical="center"/>
    </xf>
    <xf numFmtId="49" fontId="0" fillId="7" borderId="17" xfId="0" applyNumberFormat="1" applyFill="1" applyBorder="1" applyAlignment="1">
      <alignment horizontal="center"/>
    </xf>
    <xf numFmtId="49" fontId="0" fillId="10" borderId="17" xfId="0" applyNumberFormat="1" applyFill="1" applyBorder="1" applyAlignment="1">
      <alignment horizontal="center"/>
    </xf>
    <xf numFmtId="14" fontId="0" fillId="11" borderId="17" xfId="0" applyNumberFormat="1" applyFill="1" applyBorder="1" applyAlignment="1">
      <alignment horizontal="center" vertical="center"/>
    </xf>
    <xf numFmtId="0" fontId="12" fillId="12" borderId="17" xfId="0" applyFont="1" applyFill="1" applyBorder="1" applyAlignment="1">
      <alignment horizontal="center" vertical="center" wrapText="1"/>
    </xf>
    <xf numFmtId="0" fontId="0" fillId="0" borderId="22" xfId="0" applyBorder="1" applyAlignment="1">
      <alignment horizontal="center"/>
    </xf>
    <xf numFmtId="0" fontId="0" fillId="0" borderId="22" xfId="0" applyBorder="1" applyAlignment="1">
      <alignment horizontal="center" vertical="center"/>
    </xf>
    <xf numFmtId="0" fontId="0" fillId="0" borderId="22" xfId="0" applyBorder="1"/>
    <xf numFmtId="14" fontId="0" fillId="0" borderId="22" xfId="0" applyNumberFormat="1" applyBorder="1" applyAlignment="1">
      <alignment horizontal="center"/>
    </xf>
    <xf numFmtId="0" fontId="0" fillId="0" borderId="22" xfId="0" quotePrefix="1" applyBorder="1" applyAlignment="1">
      <alignment horizontal="center"/>
    </xf>
    <xf numFmtId="0" fontId="0" fillId="10" borderId="22" xfId="0" quotePrefix="1" applyFill="1" applyBorder="1" applyAlignment="1">
      <alignment horizontal="center"/>
    </xf>
  </cellXfs>
  <cellStyles count="2">
    <cellStyle name="Hyperlink" xfId="1" xr:uid="{00000000-000B-0000-0000-000008000000}"/>
    <cellStyle name="Normal" xfId="0" builtinId="0"/>
  </cellStyles>
  <dxfs count="10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general" vertical="bottom" textRotation="0" wrapText="0" indent="0" justifyLastLine="0" shrinkToFit="0" readingOrder="0"/>
    </dxf>
    <dxf>
      <alignment horizontal="right" vertical="center" textRotation="0" wrapText="0" indent="0" justifyLastLine="0" shrinkToFit="0" readingOrder="0"/>
    </dxf>
    <dxf>
      <alignment horizontal="left"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bottom" textRotation="0" wrapText="0" indent="0" justifyLastLine="0" shrinkToFit="0" readingOrder="0"/>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general" vertical="bottom" textRotation="0" wrapText="0" indent="0" justifyLastLine="0" shrinkToFit="0" readingOrder="0"/>
    </dxf>
    <dxf>
      <alignment horizontal="right" vertical="center" textRotation="0" wrapText="0" indent="0" justifyLastLine="0" shrinkToFit="0" readingOrder="0"/>
    </dxf>
    <dxf>
      <alignment horizontal="left"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left" vertical="bottom" textRotation="0" wrapText="1"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dxf>
    <dxf>
      <alignment horizontal="center" vertical="center"/>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pivotCacheDefinition" Target="pivotCache/pivotCacheDefinition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22</xdr:col>
      <xdr:colOff>219635</xdr:colOff>
      <xdr:row>132</xdr:row>
      <xdr:rowOff>79081</xdr:rowOff>
    </xdr:from>
    <xdr:to>
      <xdr:col>24</xdr:col>
      <xdr:colOff>3283484</xdr:colOff>
      <xdr:row>180</xdr:row>
      <xdr:rowOff>88606</xdr:rowOff>
    </xdr:to>
    <xdr:pic>
      <xdr:nvPicPr>
        <xdr:cNvPr id="2" name="Imagem 1">
          <a:extLst>
            <a:ext uri="{FF2B5EF4-FFF2-40B4-BE49-F238E27FC236}">
              <a16:creationId xmlns:a16="http://schemas.microsoft.com/office/drawing/2014/main" id="{4CE5B968-A6F3-4297-9AE7-2F5A7DBF96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987510" y="25472731"/>
          <a:ext cx="4759299" cy="915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4027715</xdr:colOff>
      <xdr:row>132</xdr:row>
      <xdr:rowOff>84846</xdr:rowOff>
    </xdr:from>
    <xdr:to>
      <xdr:col>24</xdr:col>
      <xdr:colOff>8708572</xdr:colOff>
      <xdr:row>165</xdr:row>
      <xdr:rowOff>95250</xdr:rowOff>
    </xdr:to>
    <xdr:pic>
      <xdr:nvPicPr>
        <xdr:cNvPr id="3" name="Imagem 2">
          <a:extLst>
            <a:ext uri="{FF2B5EF4-FFF2-40B4-BE49-F238E27FC236}">
              <a16:creationId xmlns:a16="http://schemas.microsoft.com/office/drawing/2014/main" id="{AED64EA5-9357-4776-A73C-E27A420F62DC}"/>
            </a:ext>
            <a:ext uri="{147F2762-F138-4A5C-976F-8EAC2B608ADB}">
              <a16:predDERef xmlns:a16="http://schemas.microsoft.com/office/drawing/2014/main" pred="{4CE5B968-A6F3-4297-9AE7-2F5A7DBF96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491040" y="25478496"/>
          <a:ext cx="4680857" cy="62969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219635</xdr:colOff>
      <xdr:row>132</xdr:row>
      <xdr:rowOff>79081</xdr:rowOff>
    </xdr:from>
    <xdr:to>
      <xdr:col>22</xdr:col>
      <xdr:colOff>3283484</xdr:colOff>
      <xdr:row>180</xdr:row>
      <xdr:rowOff>88606</xdr:rowOff>
    </xdr:to>
    <xdr:pic>
      <xdr:nvPicPr>
        <xdr:cNvPr id="2" name="Imagem 1">
          <a:extLst>
            <a:ext uri="{FF2B5EF4-FFF2-40B4-BE49-F238E27FC236}">
              <a16:creationId xmlns:a16="http://schemas.microsoft.com/office/drawing/2014/main" id="{326ECA2D-1DD7-1CA4-1D42-AD2E7971A8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994314" y="25034581"/>
          <a:ext cx="4751134" cy="915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4027715</xdr:colOff>
      <xdr:row>132</xdr:row>
      <xdr:rowOff>84846</xdr:rowOff>
    </xdr:from>
    <xdr:to>
      <xdr:col>22</xdr:col>
      <xdr:colOff>8708572</xdr:colOff>
      <xdr:row>165</xdr:row>
      <xdr:rowOff>95250</xdr:rowOff>
    </xdr:to>
    <xdr:pic>
      <xdr:nvPicPr>
        <xdr:cNvPr id="9" name="Imagem 2">
          <a:extLst>
            <a:ext uri="{FF2B5EF4-FFF2-40B4-BE49-F238E27FC236}">
              <a16:creationId xmlns:a16="http://schemas.microsoft.com/office/drawing/2014/main" id="{9818471B-1CA5-1BBA-9446-A03FE2C820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489679" y="25040346"/>
          <a:ext cx="4680857" cy="62969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atheus_groliveira_energisa_com_br/Documents/OBRAS%20EQ%20ESPECIAL.xlsx" TargetMode="External"/><Relationship Id="rId2" Type="http://schemas.openxmlformats.org/officeDocument/2006/relationships/externalLinkPath" Target="https://energisa-my.sharepoint.com/personal/matheus_groliveira_energisa_com_br/Documents/OBRAS%20EQ%20ESPECIAL.xlsx" TargetMode="External"/><Relationship Id="rId1" Type="http://schemas.openxmlformats.org/officeDocument/2006/relationships/externalLinkPath" Target="/personal/matheus_groliveira_energisa_com_br/Documents/OBRAS%20EQ%20ESPECIA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joao_lagares_energisa_com_br/Documents/BAse%20Joao.xlsx" TargetMode="External"/><Relationship Id="rId1" Type="http://schemas.openxmlformats.org/officeDocument/2006/relationships/externalLinkPath" Target="/personal/joao_lagares_energisa_com_br/Documents/BAse%20Joao.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jalms2\Downloads\ORCAMENTO_RELIGADORES_N1_N3%20(1).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zenilson_santos_energisa_com_br/Documents/Arquivos%20de%20Chat%20do%20Microsoft%20Teams/Rela&#231;&#227;o%20dos%20Equipamentos%20Indispon&#237;veis%20-%20ETO%20(ATUALIZADA).xlsx" TargetMode="External"/><Relationship Id="rId1" Type="http://schemas.openxmlformats.org/officeDocument/2006/relationships/externalLinkPath" Target="/personal/zenilson_santos_energisa_com_br/Documents/Arquivos%20de%20Chat%20do%20Microsoft%20Teams/Rela&#231;&#227;o%20dos%20Equipamentos%20Indispon&#237;veis%20-%20ETO%20(ATUALIZADA).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joao_lagares_energisa_com_br/Documents/responsaveis_por_polo.xlsx" TargetMode="External"/><Relationship Id="rId1" Type="http://schemas.openxmlformats.org/officeDocument/2006/relationships/externalLinkPath" Target="/personal/joao_lagares_energisa_com_br/Documents/responsaveis_por_pol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lanilha1"/>
    </sheetNames>
    <sheetDataSet>
      <sheetData sheetId="0">
        <row r="2">
          <cell r="C2" t="str">
            <v>Ativo</v>
          </cell>
        </row>
        <row r="3">
          <cell r="C3">
            <v>7957620015</v>
          </cell>
          <cell r="T3" t="str">
            <v>0712600316</v>
          </cell>
        </row>
        <row r="4">
          <cell r="C4">
            <v>7955520116</v>
          </cell>
          <cell r="T4" t="str">
            <v>0512600178</v>
          </cell>
        </row>
        <row r="5">
          <cell r="C5">
            <v>7900594026</v>
          </cell>
          <cell r="T5" t="str">
            <v>0312600354</v>
          </cell>
        </row>
        <row r="6">
          <cell r="C6">
            <v>7953610256</v>
          </cell>
        </row>
        <row r="7">
          <cell r="C7">
            <v>7943790134</v>
          </cell>
          <cell r="T7" t="str">
            <v>0662600266</v>
          </cell>
        </row>
        <row r="8">
          <cell r="C8">
            <v>7938137007</v>
          </cell>
          <cell r="T8" t="str">
            <v>0212600423</v>
          </cell>
        </row>
        <row r="9">
          <cell r="C9">
            <v>7934698002</v>
          </cell>
          <cell r="T9" t="str">
            <v>0662600265</v>
          </cell>
        </row>
        <row r="10">
          <cell r="C10">
            <v>7933766059</v>
          </cell>
          <cell r="T10" t="str">
            <v>0112600424</v>
          </cell>
        </row>
        <row r="11">
          <cell r="C11">
            <v>7933726256</v>
          </cell>
          <cell r="T11" t="str">
            <v>0312600351</v>
          </cell>
        </row>
        <row r="12">
          <cell r="C12">
            <v>7931610122</v>
          </cell>
          <cell r="T12" t="str">
            <v>0112600383</v>
          </cell>
        </row>
        <row r="13">
          <cell r="C13">
            <v>7929376022</v>
          </cell>
          <cell r="T13" t="str">
            <v>0612600565</v>
          </cell>
        </row>
        <row r="14">
          <cell r="C14">
            <v>7927169001</v>
          </cell>
          <cell r="T14" t="str">
            <v>0112600425</v>
          </cell>
        </row>
        <row r="15">
          <cell r="C15">
            <v>7925087021</v>
          </cell>
          <cell r="T15" t="str">
            <v>0412600392</v>
          </cell>
        </row>
        <row r="16">
          <cell r="C16">
            <v>7908705049</v>
          </cell>
          <cell r="T16" t="str">
            <v>0512600135</v>
          </cell>
        </row>
        <row r="17">
          <cell r="C17">
            <v>7908686014</v>
          </cell>
          <cell r="T17" t="str">
            <v>0212600425</v>
          </cell>
        </row>
        <row r="18">
          <cell r="C18">
            <v>7903112004</v>
          </cell>
        </row>
        <row r="19">
          <cell r="C19">
            <v>7900453110</v>
          </cell>
          <cell r="T19" t="str">
            <v>0312600264</v>
          </cell>
        </row>
        <row r="20">
          <cell r="C20">
            <v>5854566043</v>
          </cell>
          <cell r="T20" t="str">
            <v>0312600352</v>
          </cell>
        </row>
        <row r="21">
          <cell r="C21">
            <v>7957126085</v>
          </cell>
          <cell r="T21" t="str">
            <v>0212600428</v>
          </cell>
        </row>
        <row r="22">
          <cell r="C22">
            <v>7900117013</v>
          </cell>
          <cell r="T22" t="str">
            <v>0212600422</v>
          </cell>
        </row>
        <row r="23">
          <cell r="C23">
            <v>5855411017</v>
          </cell>
          <cell r="T23" t="str">
            <v>0212600536</v>
          </cell>
        </row>
        <row r="24">
          <cell r="C24">
            <v>7900018004</v>
          </cell>
          <cell r="T24" t="str">
            <v>0612600439</v>
          </cell>
        </row>
        <row r="25">
          <cell r="C25">
            <v>5856070091</v>
          </cell>
          <cell r="T25" t="str">
            <v>0512600177</v>
          </cell>
        </row>
        <row r="26">
          <cell r="C26">
            <v>5858783119</v>
          </cell>
          <cell r="T26" t="str">
            <v>0662600361</v>
          </cell>
        </row>
        <row r="27">
          <cell r="C27">
            <v>5827102054</v>
          </cell>
          <cell r="T27" t="str">
            <v>0212600537</v>
          </cell>
        </row>
        <row r="28">
          <cell r="C28">
            <v>5801866013</v>
          </cell>
          <cell r="T28" t="str">
            <v>0212600539</v>
          </cell>
        </row>
        <row r="29">
          <cell r="C29">
            <v>7900573047</v>
          </cell>
          <cell r="T29" t="str">
            <v>0412600391</v>
          </cell>
        </row>
        <row r="30">
          <cell r="C30">
            <v>5844630060</v>
          </cell>
          <cell r="T30" t="str">
            <v>0612600626</v>
          </cell>
        </row>
        <row r="31">
          <cell r="C31">
            <v>7900230155</v>
          </cell>
          <cell r="T31" t="str">
            <v>SEM OBRA</v>
          </cell>
        </row>
        <row r="32">
          <cell r="C32">
            <v>5850308009</v>
          </cell>
          <cell r="T32" t="str">
            <v>0712600418</v>
          </cell>
        </row>
        <row r="33">
          <cell r="C33">
            <v>5800859011</v>
          </cell>
          <cell r="T33" t="str">
            <v>0712600419</v>
          </cell>
        </row>
        <row r="34">
          <cell r="C34">
            <v>5800438116</v>
          </cell>
          <cell r="T34" t="str">
            <v>0512600179</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justes RL Poste"/>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ponsáveis"/>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endentes"/>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Seg_Territorial (2)"/>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Allan Pereira de Souza" id="{2CA1750F-6264-42FE-A0B9-B3DEE7C271DA}" userId="S::allan.souza@energisa.com.br::a7fa3ebd-5911-4698-9bd5-79f3a413ac43" providerId="AD"/>
  <person displayName="Joao Antonio Lagares Milhomem de Souza" id="{6564218A-E088-4662-9D46-DA31EA88AA31}" userId="S::joao.lagares@energisa.com.br::398807df-e4d5-412e-a012-70e82e4b539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lan Pereira de Souza" refreshedDate="46230.769645023145" createdVersion="8" refreshedVersion="8" minRefreshableVersion="3" recordCount="93" xr:uid="{B1A6946C-52CD-45E2-876B-898ED1DBAEF3}">
  <cacheSource type="worksheet">
    <worksheetSource name="Pendentes"/>
  </cacheSource>
  <cacheFields count="23">
    <cacheField name="ANO_SS" numFmtId="0">
      <sharedItems containsSemiMixedTypes="0" containsString="0" containsNumber="1" containsInteger="1" minValue="2025" maxValue="2026"/>
    </cacheField>
    <cacheField name="SS_ORIGINAL" numFmtId="0">
      <sharedItems/>
    </cacheField>
    <cacheField name="DESTINO_SS" numFmtId="0">
      <sharedItems count="13">
        <s v="ETO-RD-PO"/>
        <s v="ETO-RD-GR"/>
        <s v="ETO-COEP"/>
        <s v="ETO-TELE"/>
        <s v="ETO-RD-DP"/>
        <s v="ETO-PROT"/>
        <s v="ETO-SE-PA"/>
        <s v="ETO-RD-PS"/>
        <s v="DG-RD-PO"/>
        <s v="ETO-SE-PCM" u="1"/>
        <s v="ETO-RD-GU" u="1"/>
        <s v="ETO-RD-PA" u="1"/>
        <s v="ETO-RD-AR" u="1"/>
      </sharedItems>
    </cacheField>
    <cacheField name="COD_RELIGADOR" numFmtId="0">
      <sharedItems containsSemiMixedTypes="0" containsString="0" containsNumber="1" containsInteger="1" minValue="5800291035" maxValue="7962734119"/>
    </cacheField>
    <cacheField name="TIPO" numFmtId="0">
      <sharedItems count="2">
        <s v="58"/>
        <s v="79"/>
      </sharedItems>
    </cacheField>
    <cacheField name="DTA_ABERTURA" numFmtId="14">
      <sharedItems containsSemiMixedTypes="0" containsNonDate="0" containsDate="1" containsString="0" minDate="2025-07-01T00:00:00" maxDate="2026-07-28T00:00:00"/>
    </cacheField>
    <cacheField name="COD_LOC" numFmtId="0">
      <sharedItems containsSemiMixedTypes="0" containsString="0" containsNumber="1" containsInteger="1" minValue="1" maxValue="256"/>
    </cacheField>
    <cacheField name="LOCALIDADE" numFmtId="0">
      <sharedItems/>
    </cacheField>
    <cacheField name="POLO" numFmtId="0">
      <sharedItems/>
    </cacheField>
    <cacheField name="REGIONAL" numFmtId="0">
      <sharedItems/>
    </cacheField>
    <cacheField name="ALIMENTADOR" numFmtId="0">
      <sharedItems/>
    </cacheField>
    <cacheField name="DESCRICAO" numFmtId="0">
      <sharedItems longText="1"/>
    </cacheField>
    <cacheField name="Premissa 1" numFmtId="0">
      <sharedItems containsString="0" containsBlank="1" containsNumber="1" containsInteger="1" minValue="0" maxValue="40"/>
    </cacheField>
    <cacheField name="Premissa 2" numFmtId="0">
      <sharedItems containsString="0" containsBlank="1" containsNumber="1" containsInteger="1" minValue="0" maxValue="20"/>
    </cacheField>
    <cacheField name="Premissa 3" numFmtId="0">
      <sharedItems containsString="0" containsBlank="1" containsNumber="1" containsInteger="1" minValue="0" maxValue="20"/>
    </cacheField>
    <cacheField name="Premissa 4" numFmtId="0">
      <sharedItems containsString="0" containsBlank="1" containsNumber="1" containsInteger="1" minValue="0" maxValue="20"/>
    </cacheField>
    <cacheField name="Premissa 5" numFmtId="0">
      <sharedItems containsString="0" containsBlank="1" containsNumber="1" containsInteger="1" minValue="0" maxValue="20"/>
    </cacheField>
    <cacheField name="Premissa 6" numFmtId="0">
      <sharedItems containsBlank="1" containsMixedTypes="1" containsNumber="1" containsInteger="1" minValue="0" maxValue="10"/>
    </cacheField>
    <cacheField name="Premissa 7" numFmtId="0">
      <sharedItems containsBlank="1" containsMixedTypes="1" containsNumber="1" containsInteger="1" minValue="0" maxValue="10"/>
    </cacheField>
    <cacheField name="Premissa 8" numFmtId="0">
      <sharedItems containsBlank="1" containsMixedTypes="1" containsNumber="1" containsInteger="1" minValue="0" maxValue="15"/>
    </cacheField>
    <cacheField name="Priorização" numFmtId="0">
      <sharedItems containsString="0" containsBlank="1" containsNumber="1" containsInteger="1" minValue="0" maxValue="110"/>
    </cacheField>
    <cacheField name="Criticidade" numFmtId="0">
      <sharedItems count="6">
        <s v="Muito Alta"/>
        <s v="Alta"/>
        <s v="Média"/>
        <s v="Baixa"/>
        <s v="Falta definir"/>
        <s v="-" u="1"/>
      </sharedItems>
    </cacheField>
    <cacheField name="Observação após anális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lan Pereira de Souza" refreshedDate="46232.345025115741" createdVersion="8" refreshedVersion="8" minRefreshableVersion="3" recordCount="129" xr:uid="{3F6AC1E3-BEFA-40F6-82F4-54BD3C28327D}">
  <cacheSource type="worksheet">
    <worksheetSource name="Table"/>
  </cacheSource>
  <cacheFields count="23">
    <cacheField name="Ativo" numFmtId="0">
      <sharedItems containsSemiMixedTypes="0" containsString="0" containsNumber="1" containsInteger="1" minValue="5800090147" maxValue="7967181127"/>
    </cacheField>
    <cacheField name="Tipo" numFmtId="0">
      <sharedItems/>
    </cacheField>
    <cacheField name="Localidade" numFmtId="0">
      <sharedItems containsBlank="1"/>
    </cacheField>
    <cacheField name="Polo" numFmtId="0">
      <sharedItems containsBlank="1"/>
    </cacheField>
    <cacheField name="Regional" numFmtId="0">
      <sharedItems containsBlank="1"/>
    </cacheField>
    <cacheField name="SS aberta" numFmtId="0">
      <sharedItems/>
    </cacheField>
    <cacheField name="Parecer COEP" numFmtId="0">
      <sharedItems containsBlank="1" count="14">
        <m/>
        <s v="Substituido 24/07, pendente laudo"/>
        <s v="Equipamento entregue ao COCM"/>
        <s v="Em processo de aquisição"/>
        <s v="Aguardando comissionamento"/>
        <s v="Em fase de ajustes"/>
        <s v="Em processo logístico"/>
        <s v="Primeiro ataque DMSL"/>
        <s v="Problema na autorização de passagem"/>
        <s v="Substituido 27/07, pendente laudo"/>
        <s v="Aguardando atualização de informação DMSL"/>
        <s v="Melhoria de aterramento"/>
        <s v="Aguardando parecer DMSL"/>
        <s v="REPASSAR O DMSL (EQUIPAMENTO OPERANDO NO SCADA)"/>
      </sharedItems>
    </cacheField>
    <cacheField name="Observação" numFmtId="0">
      <sharedItems containsBlank="1" count="17">
        <m/>
        <s v="Pendente laudo da empreteira"/>
        <s v="Previsão de substituição 27/08"/>
        <s v="Estava aguardando retorno DMSL"/>
        <s v="Previsão de substituição 07/08"/>
        <s v="Mandar reformar"/>
        <s v="Previsão de entrega 10/08"/>
        <s v="Destinada parte ativa do RL 7900453110"/>
        <s v="Previsão de entrega 20/10"/>
        <s v="Previsão de substituição 28/07"/>
        <s v="Cliente não autorizou entrar na propriedade "/>
        <s v="Previsão de entrega 10/08, 1 tanque NOJA sobrando"/>
        <s v="Vai ser aberto um poço em 28/07"/>
        <s v="Previsão de entrega 20/07"/>
        <s v="1 controle NOJA sobrando"/>
        <s v="Previsão de entrega 16/08"/>
        <s v="Furtado novamente"/>
      </sharedItems>
    </cacheField>
    <cacheField name="Check de concluídas" numFmtId="0">
      <sharedItems containsBlank="1" count="5">
        <s v="Ok"/>
        <s v="Em andamento"/>
        <m/>
        <s v="Em operação"/>
        <s v="Desmobilizado"/>
      </sharedItems>
    </cacheField>
    <cacheField name="Defeito identificado" numFmtId="0">
      <sharedItems containsBlank="1" count="20">
        <m/>
        <s v="Célula"/>
        <s v="Controle "/>
        <s v="Tanque + controle"/>
        <s v="Tanque e rádio"/>
        <s v="Tanque e antena "/>
        <s v="Controle"/>
        <s v="Células + controle"/>
        <s v="Tanque e cabo umbilical"/>
        <s v="Tanque "/>
        <s v="Tanque"/>
        <s v="Controle e aterramento"/>
        <s v="Tanque e PR do trafo e chave"/>
        <s v="Melhoria de aterramento"/>
        <s v="Tanque + controle e chave"/>
        <s v="Células + melhoria de aterramento"/>
        <s v="-"/>
        <s v="Trafo auxiliar e tanque"/>
        <s v="Trafo auxiliar e completo"/>
        <s v="Completo"/>
      </sharedItems>
    </cacheField>
    <cacheField name="Quantidade" numFmtId="0">
      <sharedItems containsString="0" containsBlank="1" containsNumber="1" containsInteger="1" minValue="1" maxValue="3"/>
    </cacheField>
    <cacheField name="Descrição SS" numFmtId="0">
      <sharedItems longText="1"/>
    </cacheField>
    <cacheField name="Premissa 1" numFmtId="0">
      <sharedItems containsBlank="1" containsMixedTypes="1" containsNumber="1" containsInteger="1" minValue="0" maxValue="40"/>
    </cacheField>
    <cacheField name="Premissa 2" numFmtId="0">
      <sharedItems containsString="0" containsBlank="1" containsNumber="1" containsInteger="1" minValue="0" maxValue="20"/>
    </cacheField>
    <cacheField name="Premissa 3" numFmtId="0">
      <sharedItems containsString="0" containsBlank="1" containsNumber="1" containsInteger="1" minValue="0" maxValue="20"/>
    </cacheField>
    <cacheField name="Premissa 4" numFmtId="0">
      <sharedItems containsString="0" containsBlank="1" containsNumber="1" containsInteger="1" minValue="0" maxValue="20"/>
    </cacheField>
    <cacheField name="Premissa 5" numFmtId="0">
      <sharedItems containsString="0" containsBlank="1" containsNumber="1" containsInteger="1" minValue="0" maxValue="20"/>
    </cacheField>
    <cacheField name="Premissa 6" numFmtId="0">
      <sharedItems containsBlank="1" containsMixedTypes="1" containsNumber="1" containsInteger="1" minValue="0" maxValue="10"/>
    </cacheField>
    <cacheField name="Premissa 7" numFmtId="0">
      <sharedItems containsBlank="1" containsMixedTypes="1" containsNumber="1" containsInteger="1" minValue="0" maxValue="10"/>
    </cacheField>
    <cacheField name="Premissa 8" numFmtId="0">
      <sharedItems containsBlank="1" containsMixedTypes="1" containsNumber="1" containsInteger="1" minValue="0" maxValue="15"/>
    </cacheField>
    <cacheField name="Priorização" numFmtId="0">
      <sharedItems containsSemiMixedTypes="0" containsString="0" containsNumber="1" containsInteger="1" minValue="0" maxValue="120"/>
    </cacheField>
    <cacheField name="Criticidade" numFmtId="0">
      <sharedItems containsBlank="1" count="5">
        <s v="Muito Alta"/>
        <s v="Alta"/>
        <s v="Média"/>
        <s v="Baixa"/>
        <m/>
      </sharedItems>
    </cacheField>
    <cacheField name="Observação após anális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n v="2026"/>
    <s v="ETO-RD-PO 00213/2026"/>
    <x v="0"/>
    <n v="5854566043"/>
    <x v="0"/>
    <d v="2026-07-22T00:00:00"/>
    <n v="43"/>
    <s v="SILVANOPOLIS"/>
    <s v="PORTO NACIONAL"/>
    <s v="CENTRO"/>
    <s v="LD02072001"/>
    <s v="22/07/2026 PARECER COEP: EQUIPAMENTO ENTREGUE AOS COCM´SPRAZO DE 7 DIAS CONTANDO O SLA.PARECER COEP: EQUIPAMENTO ENTREGUE AOS COCM´S FAVOR SUSBSTTUIR , E AGUARDO O PRAZO DE PREVISÃO DE SUBSTIUIÇÃO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
    <n v="40"/>
    <n v="20"/>
    <n v="20"/>
    <n v="10"/>
    <n v="20"/>
    <s v="-"/>
    <s v="-"/>
    <s v="-"/>
    <n v="110"/>
    <x v="0"/>
    <s v="Aumento de reclamações no atendimento de Silvanópolis por Porto Nacional no período seco (Outra fonte com defeito também)"/>
  </r>
  <r>
    <n v="2026"/>
    <s v="ETO-RD-GR 00735/2026"/>
    <x v="1"/>
    <n v="5800859011"/>
    <x v="0"/>
    <d v="2026-07-16T00:00:00"/>
    <n v="11"/>
    <s v="TUPIRAMA"/>
    <s v="GUARAI"/>
    <s v="NORTE"/>
    <s v="AL01065015"/>
    <s v="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PEÇA ENVIADA: CONTROLEPARECER DMSL: *FEEDBACK EQUIP. ESPECIAIS**Nº DO EQUIPAMENTO:* 5800859011*TIPO EQUIPAMENTO:* RT ITB *TIPO DE COMUNICAÇÃO:* Não *DATA DA MANUTENÇÃO:* 09/06/2026*SID:* 3195/2026*DESCRIÇÃO:* _ Foi identificado relé da fase C com defeito conforme orientação da supervisão e necessário realiza retrofit para instalação de controle rua.*FICOU EM OPERAÇÃO* Não*PENDÊNCIA:* Realizado Retrofit *DADOS DIVERGENTES DA PROGRAMAÇÃO:* Não*BATERIA SUBSTITUÍDA?:* Não*TIPO DE BATERIA:**EQUIPE:* Edeglan e Brunno.Observação: trocar por um controle RUA.------------------------------------------------------------------------------------------Enviar equipe do DMSL, para  fazer correção no RT 5800859011, o mesmo está com o displey da fase C apagado , dificutando  realizar  manobras no mesmo, emvirtude  disso o mesmo ficou BAY PASSADO EM CAMPO"/>
    <n v="40"/>
    <n v="20"/>
    <n v="20"/>
    <n v="10"/>
    <n v="20"/>
    <s v="-"/>
    <s v="-"/>
    <s v="-"/>
    <n v="110"/>
    <x v="0"/>
    <s v="Atendimento de parte da RDU Guaraí por fonte alternativa"/>
  </r>
  <r>
    <n v="2026"/>
    <s v="ETO-COEP 00124/2026"/>
    <x v="2"/>
    <n v="7923673004"/>
    <x v="1"/>
    <d v="2026-07-07T00:00:00"/>
    <n v="4"/>
    <s v="ARAGUAINA"/>
    <s v="ARAGUAINA"/>
    <s v="NORTE"/>
    <s v="AL04010004"/>
    <s v="PARECER COEP: Verificar Disponibilidade de equipamento no Scada e enviar modelo e tensão para a compra.RELIGADOR COM RELÉ DANIFICADO, REALIZAR SUBSTITUIÇÃO"/>
    <n v="15"/>
    <n v="20"/>
    <n v="15"/>
    <n v="15"/>
    <n v="15"/>
    <n v="10"/>
    <n v="0"/>
    <n v="15"/>
    <n v="105"/>
    <x v="0"/>
    <s v="Transferência de cargas na RDU de Araguaína (2797 UCs)"/>
  </r>
  <r>
    <n v="2026"/>
    <s v="ETO-COEP 00040/2026"/>
    <x v="2"/>
    <n v="7931608059"/>
    <x v="1"/>
    <d v="2026-02-24T00:00:00"/>
    <n v="59"/>
    <s v="TAQUARALTO"/>
    <s v="TAQUARALTO"/>
    <s v="CENTRO"/>
    <s v="AL05099059"/>
    <s v="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
    <n v="15"/>
    <n v="20"/>
    <n v="15"/>
    <n v="15"/>
    <n v="15"/>
    <n v="10"/>
    <n v="0"/>
    <n v="15"/>
    <n v="105"/>
    <x v="0"/>
    <s v="Transferência dos bairros Morada do Sol, Vale do Sol, Morada do Sol II, Nova Esperança, Sõa João, Araras I e II e Jardim Laila em Taquaralto (6033 UCs)"/>
  </r>
  <r>
    <n v="2026"/>
    <s v="ETO-TELE 01025/2026"/>
    <x v="3"/>
    <n v="7931610122"/>
    <x v="1"/>
    <d v="2026-07-22T00:00:00"/>
    <n v="122"/>
    <s v="PALMAS"/>
    <s v="PALMAS"/>
    <s v="CENTRO"/>
    <s v="AL08060122"/>
    <s v="PARECER DA PROTEÇÃO:FAVOR COMISSIONAR RELIGADOR. AJUSTES PERMANECEM OS MESMOS E DISPONÍVEIS NO APP DA PROTEÇÃO.Estagiário Rafael P Marques.******************30/06 PARECER COEP: EQUIPAMENTO ENTREGUE, SEGUE SS PARA O COCM´S , PARA REALIZAR O ATENDIMENTO,FAVOR ADICIONAR O PARECER PARA MANDAR PARA PROTEÇÃOBom dia,Segue SS para verificação RL sem comunicação com painel apagado equipe DEOP fez primeiro ataque sem sucesso RL 7931610122 RDU de Palmas.Feedback Equipamentos Especiais DMSL: *RLG 7931610122 RDU Palmas*Noja rc10 Data: 14/10/2025SID: 5412Dados de comunicação divergentes da programação: Não. Serviço Executado: Houve um curto no equipamento danificando a parte ativa, e antena! Será necessário fazer a substituição somente da parte ativa (tanque) e da antena.Equipamento ficou em operação?: Não Pendência: Sim, substituir a parte ativa.Bateria(s) substituída(s)?: NãoData Fabricação/Instalação da(s) bateria(s): 2024Equipe: Benvindo, Juliano e Sérgio.***** Parecer do COCM CENTRO*****Equipamento Substituido em campo pela Ordem de ServiÇO DLP-MPPA01 243/2026, ONDE OS RELATORIO ESTÃO ANEXADO.--------------------------------------------------------Parecer DMSL:Equipamento substituído porém não informado se antena também foi substituída. Levar antena para caso da mesmo não ter sido substituída."/>
    <n v="15"/>
    <n v="20"/>
    <n v="15"/>
    <n v="15"/>
    <n v="15"/>
    <n v="10"/>
    <n v="0"/>
    <n v="15"/>
    <n v="105"/>
    <x v="0"/>
    <s v="Transferência entre 284R SE Palmas IV e 2294R SE Palmas II"/>
  </r>
  <r>
    <n v="2026"/>
    <s v="ETO-RD-DP 00479/2026"/>
    <x v="4"/>
    <n v="5856070091"/>
    <x v="0"/>
    <d v="2026-07-27T00:00:00"/>
    <n v="91"/>
    <s v="ALMAS"/>
    <s v="DIANOPOLIS"/>
    <s v="SUL"/>
    <s v="LD04002091"/>
    <s v="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
    <n v="40"/>
    <n v="20"/>
    <n v="20"/>
    <n v="20"/>
    <n v="0"/>
    <s v="-"/>
    <s v="-"/>
    <s v="-"/>
    <n v="100"/>
    <x v="0"/>
    <s v="Atendimento da região da Engegold, Nativa, cidade Natividade e Chapada da Natividade"/>
  </r>
  <r>
    <n v="2026"/>
    <s v="ETO-COEP 00131/2026"/>
    <x v="2"/>
    <n v="7947203070"/>
    <x v="1"/>
    <d v="2026-07-08T00:00:00"/>
    <n v="70"/>
    <s v="RIO SONO"/>
    <s v="TAQUARALTO"/>
    <s v="CENTRO"/>
    <s v="LD02424015"/>
    <s v="13/07 PARECER COEP: SELECIONADO PARA COMPRA CONTROLE 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
    <n v="10"/>
    <n v="20"/>
    <n v="15"/>
    <n v="15"/>
    <n v="15"/>
    <n v="10"/>
    <n v="0"/>
    <n v="15"/>
    <n v="100"/>
    <x v="0"/>
    <s v="Transferência da RDU de Lizarda (1650 UCs) para fonte alternativa"/>
  </r>
  <r>
    <n v="2026"/>
    <s v="ETO-RD-DP 00409/2026"/>
    <x v="4"/>
    <n v="7908705049"/>
    <x v="1"/>
    <d v="2026-07-06T00:00:00"/>
    <n v="49"/>
    <s v="AURORA DO TOCANTINS"/>
    <s v="DIANOPOLIS"/>
    <s v="SUL"/>
    <s v="AL01015049"/>
    <s v="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
    <n v="15"/>
    <n v="20"/>
    <n v="5"/>
    <n v="15"/>
    <n v="15"/>
    <n v="0"/>
    <n v="10"/>
    <n v="15"/>
    <n v="95"/>
    <x v="0"/>
    <s v="Proteção da baixa do TF de força da SE Aurora"/>
  </r>
  <r>
    <n v="2026"/>
    <s v="ETO-COEP 00059/2026"/>
    <x v="2"/>
    <n v="7925744087"/>
    <x v="1"/>
    <d v="2026-03-30T00:00:00"/>
    <n v="87"/>
    <s v="GOIANORTE"/>
    <s v="GUARAI"/>
    <s v="NORTE"/>
    <s v="LD02022033"/>
    <s v="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
    <n v="15"/>
    <n v="20"/>
    <n v="5"/>
    <n v="15"/>
    <n v="15"/>
    <n v="10"/>
    <n v="0"/>
    <n v="15"/>
    <n v="95"/>
    <x v="0"/>
    <s v="Transferência de Goianorte, fonte principal operando"/>
  </r>
  <r>
    <n v="2026"/>
    <s v="ETO-PROT 00154/2026"/>
    <x v="5"/>
    <n v="7900117013"/>
    <x v="1"/>
    <d v="2026-07-21T00:00:00"/>
    <n v="13"/>
    <s v="PARAISO DO TOCANTINS"/>
    <s v="PARAISO DO TOCANTINS"/>
    <s v="CENTRO"/>
    <s v="AL01062013"/>
    <s v="15/07 PARECER COCM: EQUIPAMENTO FOI SUBSTITUÍDO OBRA 0212600422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
    <n v="15"/>
    <n v="20"/>
    <n v="15"/>
    <n v="15"/>
    <n v="15"/>
    <n v="0"/>
    <n v="0"/>
    <n v="15"/>
    <n v="95"/>
    <x v="0"/>
    <s v="Transferência do 214R de Paraíso I, Centro Comercial de Paraíso"/>
  </r>
  <r>
    <n v="2026"/>
    <s v="ETO-COEP 00120/2026"/>
    <x v="2"/>
    <n v="7929376022"/>
    <x v="1"/>
    <d v="2026-06-30T00:00:00"/>
    <n v="22"/>
    <s v="BABACULANDIA"/>
    <s v="ARAGUAINA"/>
    <s v="NORTE"/>
    <s v="LD05010004"/>
    <s v="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
    <n v="15"/>
    <n v="20"/>
    <n v="5"/>
    <n v="15"/>
    <n v="15"/>
    <n v="10"/>
    <n v="0"/>
    <n v="15"/>
    <n v="95"/>
    <x v="0"/>
    <s v="Transferência de Babaçulândia, fonte principal operando"/>
  </r>
  <r>
    <n v="2026"/>
    <s v="ETO-PROT 00145/2026"/>
    <x v="5"/>
    <n v="7933726256"/>
    <x v="1"/>
    <d v="2026-07-09T00:00:00"/>
    <n v="256"/>
    <s v="MATEIROS"/>
    <s v="PONTE ALTA TOCANTINS"/>
    <s v="CENTRO"/>
    <s v="LD03046026"/>
    <s v="07/07 Equipamento foi substituido na OS: ETO-RD-PO 1859/2026 OBRA 0312600351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
    <n v="15"/>
    <n v="10"/>
    <n v="15"/>
    <n v="15"/>
    <n v="15"/>
    <n v="10"/>
    <n v="0"/>
    <n v="15"/>
    <n v="95"/>
    <x v="0"/>
    <s v="Transferência da cidade de Mateiros (733 UCs) para o gerador"/>
  </r>
  <r>
    <n v="2026"/>
    <s v="ETO-TELE 01024/2026"/>
    <x v="3"/>
    <n v="7933766059"/>
    <x v="1"/>
    <d v="2026-07-22T00:00:00"/>
    <n v="59"/>
    <s v="TAQUARALTO"/>
    <s v="TAQUARALTO"/>
    <s v="CENTRO"/>
    <s v="AL01099059"/>
    <s v="PARECER DA PROTEÇÃO:RECOMISSIONAR RELIGADOR, AJUSTES DE PROTEÇÃO PERMANECEM OS MESMOS.Estagiário Rafael P Marques****************************PARECER COEP: EQUIPAMENTO ENTREGUE, SEGUE SS PARA O COCM´S , PARA REALIZAR O ATENDIMENTO,FAVOR ADICIONAR O PARECER PARA MANDAR PARA PROTEÇÃOSegue SS para verficar religador de poste 7933766059.Religador esta com defeito na parte ativa no tanque Porte gentilezaenviar equipe verificar.Endereço: TaquariPARECER DMSL: RLG 7933766059 RELÉ NOJA RC 10Mestre 2 Rep. taquaruçu GESID: 5457/2025Data: 15/10/2025Serviço Executado: Houve um curto na parte ativa do equipamento danificando a mesma, será necessário fazer a substituição somente do tanque, parte ativa.*Equipamento ficou em operação?:*Nao Pendência: Sim, substituir parte ativa.Equipe: Benvindo, Juliano e Sérgio.****** Parecer do COCM Centro***Equipámento Substituido em Campo pela Ordem de ServIÇO DLP-MPPA01 244/2026, ONDE OS RELATORIO ESTÃO ANEXADO.."/>
    <n v="15"/>
    <n v="20"/>
    <n v="5"/>
    <n v="15"/>
    <n v="15"/>
    <n v="0"/>
    <n v="10"/>
    <n v="15"/>
    <n v="95"/>
    <x v="0"/>
    <s v="Seccionamento de trecho do Setor Taquari"/>
  </r>
  <r>
    <n v="2026"/>
    <s v="ETO-SE-PA 00107/2026"/>
    <x v="6"/>
    <n v="7900594026"/>
    <x v="1"/>
    <d v="2026-07-16T00:00:00"/>
    <n v="26"/>
    <s v="PONTE ALTA TOCANTINS"/>
    <s v="PONTE ALTA TOCANTINS"/>
    <s v="CENTRO"/>
    <s v="LD03046026"/>
    <s v="PARECER DA PROTEÇÃO:16/07/2026 AJUSTES DISPONIBILIZADOS NO APP DA PROTEÇÃO15/07/2026 EQUIPAMENTO SUBSTITUIDO NA OS ETO-RD-PO 1860 OBRA 031260035414/07/2026 PARECER COCM/ COEP: DE ACORDO COM O EDSON CURCINO FOI FEITA S SUBSTITUIÇÃO DO EQUIPAMENTO , SEGUE PARA PROTEÇÃO ELABORAR AJUSTE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
    <n v="15"/>
    <n v="20"/>
    <n v="15"/>
    <n v="15"/>
    <n v="15"/>
    <n v="0"/>
    <n v="0"/>
    <n v="15"/>
    <n v="95"/>
    <x v="0"/>
    <s v="Religador responsável pela proteção da barra da SE Ponte Alta (2381 UCs)"/>
  </r>
  <r>
    <n v="2026"/>
    <s v="ETO-COEP 00141/2026"/>
    <x v="2"/>
    <n v="7927413001"/>
    <x v="1"/>
    <d v="2026-07-13T00:00:00"/>
    <n v="1"/>
    <s v="PORTO NACIONAL"/>
    <s v="PORTO NACIONAL"/>
    <s v="CENTRO"/>
    <s v="LD01072001"/>
    <s v="22/07/2026 EQUIPAMENTO SLEECIONADO PARA COMPRA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
    <n v="15"/>
    <n v="5"/>
    <n v="15"/>
    <n v="15"/>
    <n v="15"/>
    <n v="10"/>
    <n v="0"/>
    <n v="15"/>
    <n v="90"/>
    <x v="0"/>
    <s v="Transferência do Distrito Ind de Porto Nacional e GAs"/>
  </r>
  <r>
    <n v="2026"/>
    <s v="ETO-RD-PS 00302/2026"/>
    <x v="7"/>
    <n v="7908686014"/>
    <x v="1"/>
    <d v="2026-07-10T00:00:00"/>
    <n v="14"/>
    <s v="PIUM"/>
    <s v="PARAISO DO TOCANTINS"/>
    <s v="CENTRO"/>
    <s v="LD02025012"/>
    <s v="10/07 PARECER COEP: EQUIPAMENTO ENTREGUE AOS COCM´S FAVOR INFORMAR PRAZO DE SUBSTUIÇÃO PARA O DMSL E REPASSAR DEPOIS PARA PROTEÇÃO REALIZAR OS AJUSTES E DESCREVER NA SS O SERVIÇO REALIZADO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
    <n v="15"/>
    <n v="20"/>
    <n v="0"/>
    <n v="15"/>
    <n v="15"/>
    <n v="10"/>
    <n v="0"/>
    <n v="15"/>
    <n v="90"/>
    <x v="0"/>
    <s v="Fonte principal de Pium, RL de transferência operando"/>
  </r>
  <r>
    <n v="2026"/>
    <s v="ETO-TELE 00896/2026"/>
    <x v="3"/>
    <n v="7943790134"/>
    <x v="1"/>
    <d v="2026-06-10T00:00:00"/>
    <n v="134"/>
    <s v="ESPERANTINA"/>
    <s v="AUGUSTINOPOLIS"/>
    <s v="NORTE"/>
    <s v="LD02109039"/>
    <s v="PARECER DCMD:Serviço realizado , substituição da parte ativa  do RELIGADOR 7943790134 - Favor realizar comissionamento"/>
    <n v="15"/>
    <n v="10"/>
    <n v="5"/>
    <n v="15"/>
    <n v="15"/>
    <n v="10"/>
    <n v="0"/>
    <n v="15"/>
    <n v="85"/>
    <x v="0"/>
    <s v="Transferência de Esperantina, fonte principal operando"/>
  </r>
  <r>
    <n v="2026"/>
    <s v="ETO-COEP 00087/2026"/>
    <x v="2"/>
    <n v="7900453110"/>
    <x v="1"/>
    <d v="2026-04-27T00:00:00"/>
    <n v="110"/>
    <s v="SANTA RITA DO TOCANTINS"/>
    <s v="PORTO NACIONAL"/>
    <s v="CENTRO"/>
    <s v="LD03040003"/>
    <s v="10/07/2026 EQUIPAMENTO SELECIONADO PARA COMPRA PARTE ATIVA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
    <n v="15"/>
    <n v="10"/>
    <n v="5"/>
    <n v="15"/>
    <n v="15"/>
    <n v="10"/>
    <n v="0"/>
    <n v="15"/>
    <n v="85"/>
    <x v="0"/>
    <s v="Transferência de Santa Rita, fonte principal operando"/>
  </r>
  <r>
    <n v="2026"/>
    <s v="ETO-COEP 00143/2026"/>
    <x v="2"/>
    <n v="7900453110"/>
    <x v="1"/>
    <d v="2026-07-15T00:00:00"/>
    <n v="110"/>
    <s v="SANTA RITA DO TOCANTINS"/>
    <s v="PORTO NACIONAL"/>
    <s v="CENTRO"/>
    <s v="LD03040003"/>
    <s v="PARECER DMSL: Análise técnica realizada. Constatado que o equipamento está em Bypass. Foi aberta nota para substituição da parte ativa,  abri nota para substituir completo  o equipamento"/>
    <n v="15"/>
    <n v="10"/>
    <n v="5"/>
    <n v="15"/>
    <n v="15"/>
    <n v="10"/>
    <n v="0"/>
    <n v="15"/>
    <n v="85"/>
    <x v="0"/>
    <s v="Transferência de Santa Rita, fonte principal operando"/>
  </r>
  <r>
    <n v="2026"/>
    <s v="ETO-COEP 00048/2026"/>
    <x v="2"/>
    <n v="7925871077"/>
    <x v="1"/>
    <d v="2026-03-16T00:00:00"/>
    <n v="77"/>
    <s v="GOIATINS"/>
    <s v="ARAGUAINA"/>
    <s v="NORTE"/>
    <s v="LD03105019"/>
    <s v="30/06 PARECER COEP: AGUARDANDO RETORNO DO DMSL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
    <n v="15"/>
    <n v="10"/>
    <n v="15"/>
    <n v="15"/>
    <n v="15"/>
    <n v="10"/>
    <n v="0"/>
    <n v="0"/>
    <n v="80"/>
    <x v="0"/>
    <s v="Transferência de Goiatins e GAs (2492 UCs)"/>
  </r>
  <r>
    <n v="2026"/>
    <s v="ETO-COEP 00149/2026"/>
    <x v="2"/>
    <n v="5803327001"/>
    <x v="0"/>
    <d v="2026-07-20T00:00:00"/>
    <n v="1"/>
    <s v="PORTO NACIONAL"/>
    <s v="PORTO NACIONAL"/>
    <s v="CENTRO"/>
    <s v="AL01102271"/>
    <s v="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
    <n v="40"/>
    <n v="0"/>
    <n v="0"/>
    <n v="20"/>
    <n v="20"/>
    <s v="-"/>
    <s v="-"/>
    <s v="-"/>
    <n v="80"/>
    <x v="1"/>
    <s v="Em caso de perca da fonte principal é necessário esse RT para alimentação da Frísia"/>
  </r>
  <r>
    <n v="2026"/>
    <s v="ETO-PROT 00143/2026"/>
    <x v="5"/>
    <n v="7900230155"/>
    <x v="1"/>
    <d v="2026-07-08T00:00:00"/>
    <n v="155"/>
    <s v="PALMEIRANTE"/>
    <s v="COLINAS DO TOCANTINS"/>
    <s v="NORTE"/>
    <s v="LD02105019"/>
    <s v="07/07/2026 PARECER COEP: MATERIAL ENVIADO , CONFORME ALINHANDO COM O WANDER REALIZAR SUBSTIUIÇÂO DO EQUIPAMENTO, FAVOR ESCREVER PARECER COCM ANTES DE PASSAR PARA PROTEÇÂO, DO QUE FOI REALIZADO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Senhores Favor verificar RL 7900230155  o mesmo sinalizou aberto  no SCADA porem a cidade de Palmeirante estava normal , feito um reset no rl e o mesmo subiu fechado.08/07/2026 PARECER DCMD: EQUIPE ETO-LVGR01  DE GUARAI ESTEVE NO RL 7900230155 DIA 25-06-2026 E FEZ TODAS A PENDENCIAS DO RL, OBS: EQUIPE SO NAO CONECTOU O CABO DO TRAFO NO RL. RL ESTA PRONTO PARA O COMISSIONAMENTO"/>
    <n v="15"/>
    <n v="20"/>
    <n v="5"/>
    <n v="15"/>
    <n v="0"/>
    <n v="10"/>
    <n v="0"/>
    <n v="15"/>
    <n v="80"/>
    <x v="0"/>
    <s v="Fonte principal de Palmeirante, RL de transferência operando"/>
  </r>
  <r>
    <n v="2026"/>
    <s v="ETO-TELE 00997/2026"/>
    <x v="3"/>
    <n v="7908302256"/>
    <x v="1"/>
    <d v="2026-07-10T00:00:00"/>
    <n v="256"/>
    <s v="MATEIROS"/>
    <s v="PONTE ALTA TOCANTINS"/>
    <s v="CENTRO"/>
    <s v="LD03046026"/>
    <s v="RL teve nota baixada (ETO-TELE 970/2026) pore´m eqp continua fora de operação, solicito programação para equipe verificar em campo"/>
    <n v="5"/>
    <n v="10"/>
    <n v="5"/>
    <n v="15"/>
    <n v="15"/>
    <n v="10"/>
    <n v="0"/>
    <n v="15"/>
    <n v="75"/>
    <x v="1"/>
    <s v="Isolação de trecho e transferência das cidades de São Felix e Mateiros para gerador, além de atendimento de clientes rurais"/>
  </r>
  <r>
    <n v="2026"/>
    <s v="ETO-RD-GR 00766/2026"/>
    <x v="1"/>
    <n v="5800371025"/>
    <x v="0"/>
    <d v="2026-07-27T00:00:00"/>
    <n v="25"/>
    <s v="ARAPOEMA"/>
    <s v="COLINAS DO TOCANTINS"/>
    <s v="NORTE"/>
    <s v="LD02010153"/>
    <s v="16/07/2026 PARECER COEP: ALINHADO COM O KELLITON REALIZAR SUBSTITUIÇÃO DO CONTROLE DE TUPIRAMA, ALINHADO COM O JEAN QUE OS CABOS COMPATIBILIZADORES VÃO CHEGAR 16/08 , ATÉ ESSA DATA MANTER ESSA SS E CONTROLE RUA, DEPOIS REPASSAR PARA O DMSL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
    <n v="0"/>
    <n v="20"/>
    <n v="20"/>
    <n v="10"/>
    <n v="20"/>
    <s v="-"/>
    <s v="-"/>
    <s v="-"/>
    <n v="70"/>
    <x v="1"/>
    <s v="Aumento de reclamações no atendimento de Arapoema no período seco"/>
  </r>
  <r>
    <n v="2026"/>
    <s v="ETO-PROT 00144/2026"/>
    <x v="5"/>
    <n v="5865120195"/>
    <x v="0"/>
    <d v="2026-07-08T00:00:00"/>
    <n v="195"/>
    <s v="CENTENARIO"/>
    <s v="GUARAI"/>
    <s v="NORTE"/>
    <s v="LD01065015"/>
    <s v="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FAVOR COMISSIONAR REGULADOR 5865120195 – LD Santa Maria Ramal Centenário e Recursolândia – 34,5kV. AJUSTE REALIZADO, DISPONÍVEL NO APP DA PROTEÇÃO.*********************** INSTALADO NA OBRA 0702400720 GENTILEZA, REALIZAR O COMISSIONAMENTO.LAUDO EM ANEXO.COORD EO: 889017, 901685708-07-2026 PARECER: FOI FEITO A MELHORIA NO REGULADOR CONFORME FOTOS EM ANEXO."/>
    <n v="20"/>
    <n v="20"/>
    <n v="20"/>
    <n v="10"/>
    <n v="0"/>
    <s v="-"/>
    <s v="-"/>
    <s v="-"/>
    <n v="70"/>
    <x v="1"/>
    <s v="Atendimento das RDUs de Centenário, Recursolândia e clientes rurais"/>
  </r>
  <r>
    <n v="2026"/>
    <s v="ETO-COEP 00078/2026"/>
    <x v="2"/>
    <n v="7926089013"/>
    <x v="1"/>
    <d v="2026-04-23T00:00:00"/>
    <n v="13"/>
    <s v="PARAISO DO TOCANTINS"/>
    <s v="PARAISO DO TOCANTINS"/>
    <s v="CENTRO"/>
    <s v="LD03062013"/>
    <s v="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
    <n v="15"/>
    <n v="10"/>
    <n v="5"/>
    <n v="15"/>
    <n v="15"/>
    <n v="10"/>
    <n v="0"/>
    <n v="0"/>
    <n v="70"/>
    <x v="1"/>
    <s v="Transferência da RDU de Chapada de Areia (937 UCs) para fonte alternativa"/>
  </r>
  <r>
    <n v="2026"/>
    <s v="ETO-PROT 00152/2026"/>
    <x v="5"/>
    <n v="7925087021"/>
    <x v="1"/>
    <d v="2026-07-20T00:00:00"/>
    <n v="21"/>
    <s v="PARANA"/>
    <s v="PEIXE"/>
    <s v="SUL"/>
    <s v="LD01010021"/>
    <s v="10/07 PARECER COEP: EQUIPAMENTO ENTREGUE AOS COCM´S FAVOR INFORMAR PRAZO DE SUBSTUIÇÃO PARA O DMSL E REPASSAR DEPOIS PARA PROTEÇÃO REALIZAR OS AJUSTES E DESCREVER NA SS O SERVIÇO REALIZADOPARECER COEP: EM ROTA DE ENTREGA, VERIFICAR PREVISÃO DE CHEGADARealizar a substituição do tanque do equipamento."/>
    <n v="15"/>
    <n v="10"/>
    <n v="5"/>
    <n v="0"/>
    <n v="15"/>
    <n v="10"/>
    <n v="0"/>
    <n v="15"/>
    <n v="70"/>
    <x v="1"/>
    <s v="Primeiro RL do 414R de Paranã, RL a jusante na LD também está bay-passado (630 UCs)"/>
  </r>
  <r>
    <n v="2026"/>
    <s v="ETO-PROT 00151/2026"/>
    <x v="5"/>
    <n v="5801866013"/>
    <x v="0"/>
    <d v="2026-07-17T00:00:00"/>
    <n v="13"/>
    <s v="PARAISO DO TOCANTINS"/>
    <s v="PARAISO DO TOCANTINS"/>
    <s v="CENTRO"/>
    <s v="AL03062013"/>
    <s v="15/07 PARECER COCM, FOI ATENDIDA PELA OS ETO-RD-PS 1616/2026 OBRA-0212600539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
    <n v="0"/>
    <n v="20"/>
    <n v="20"/>
    <n v="20"/>
    <n v="10"/>
    <s v="-"/>
    <s v="-"/>
    <s v="-"/>
    <n v="70"/>
    <x v="1"/>
    <s v="Atendimento da RDU Luzimangues Industrial por fonte alternativa"/>
  </r>
  <r>
    <n v="2025"/>
    <s v="ETO-RD-PS 00323/2025"/>
    <x v="7"/>
    <n v="5853360007"/>
    <x v="0"/>
    <d v="2025-10-16T00:00:00"/>
    <n v="7"/>
    <s v="MIRACEMA DO TOCANTINS"/>
    <s v="MIRACEMA DO TOCANTINS"/>
    <s v="CENTRO"/>
    <s v="LD05050008"/>
    <s v="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
    <n v="0"/>
    <n v="20"/>
    <n v="20"/>
    <n v="10"/>
    <n v="20"/>
    <s v="-"/>
    <s v="-"/>
    <s v="-"/>
    <n v="70"/>
    <x v="1"/>
    <s v="Aumento de reclamações no atendimento de Miracema no período seco"/>
  </r>
  <r>
    <n v="2026"/>
    <s v="ETO-PROT 00153/2026"/>
    <x v="5"/>
    <n v="7900573047"/>
    <x v="1"/>
    <d v="2026-07-20T00:00:00"/>
    <n v="47"/>
    <s v="FIGUEIROPOLIS"/>
    <s v="FORMOSO DO ARAGUAIA"/>
    <s v="SUL"/>
    <s v="AL02033047"/>
    <s v="10/07 PARECER COEP: EQUIPAMENTO ENTREGUE AOS COCM´S FAVOR INFORMAR PRAZO DE SUBSTUIÇÃO PARA O DMSL E REPASSAR DEPOIS PARA PROTEÇÃO REALIZAR OS AJUSTES E DESCREVER NA SS O SERVIÇO REALIZADO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
    <n v="5"/>
    <n v="5"/>
    <n v="15"/>
    <n v="0"/>
    <n v="15"/>
    <n v="10"/>
    <n v="0"/>
    <n v="15"/>
    <n v="65"/>
    <x v="1"/>
    <s v="Transferência da Bunge, Saneatins e secadora"/>
  </r>
  <r>
    <n v="2026"/>
    <s v="ETO-RD-PO 00208/2026"/>
    <x v="0"/>
    <n v="7953610256"/>
    <x v="1"/>
    <d v="2026-07-16T00:00:00"/>
    <n v="256"/>
    <s v="MATEIROS"/>
    <s v="PONTE ALTA TOCANTINS"/>
    <s v="CENTRO"/>
    <s v="LD03046026"/>
    <s v="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
    <n v="5"/>
    <n v="5"/>
    <n v="15"/>
    <n v="15"/>
    <n v="0"/>
    <n v="0"/>
    <n v="10"/>
    <n v="15"/>
    <n v="65"/>
    <x v="1"/>
    <s v="Atenidmento da COELBA (Alto potencial de compensação)"/>
  </r>
  <r>
    <n v="2026"/>
    <s v="ETO-RD-DP 00404/2026"/>
    <x v="4"/>
    <n v="5800438116"/>
    <x v="0"/>
    <d v="2026-07-01T00:00:00"/>
    <n v="116"/>
    <s v="CHAPADA DA NATIVIDADE"/>
    <s v="DIANOPOLIS"/>
    <s v="SUL"/>
    <s v="LD04002091"/>
    <s v="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30/06PARECER COEP: AGUARDANDO COCM'S CRIAREM OBRA PARA ENTREGA DO MATERIALSegue nota para normalizar falha em regulador N:5800438116 - Chapada da natividade .equipamento está com fase B e C travada .OBS: a fase B esta sinalizando falha , equipamento não insere TAP negativo na fase B e C , o mesmo ficou no TAP zerado e bloqueado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Foi constatado que a placa F do controle está com defeito."/>
    <n v="0"/>
    <n v="20"/>
    <n v="20"/>
    <n v="20"/>
    <n v="0"/>
    <s v="-"/>
    <s v="-"/>
    <s v="-"/>
    <n v="60"/>
    <x v="2"/>
    <s v="Atendimento da região da Engegold, Nativa, cidade Natividade e Chapada da Natividade (Fonte alternativa)"/>
  </r>
  <r>
    <n v="2026"/>
    <s v="ETO-COEP 00151/2026"/>
    <x v="2"/>
    <n v="5840227063"/>
    <x v="0"/>
    <d v="2026-07-20T00:00:00"/>
    <n v="63"/>
    <s v="BANDEIRANTES DO TOCANTINS"/>
    <s v="COLINAS DO TOCANTINS"/>
    <s v="NORTE"/>
    <s v="LD01054060"/>
    <s v="PARECER DMSL 13/07/2026: Realizados ensaios de isolação nas três células, e foi identificado curto na fase A, sendo necessário a sua substituição. Os cabos das buchas ficaram desconectados para melhor identificação no momento da sua substituiçãSEGUE PARA O DMSL AVALIAR ANTES DE SEGUIRMOS COM O SERVIÇOSEGUE PARA REALIZAR TROCA---------------------------------------------------------Boa noite,Segue SS para tratativas regulador de tensão 5840227063 fase C em curto"/>
    <n v="0"/>
    <n v="20"/>
    <n v="20"/>
    <n v="10"/>
    <n v="10"/>
    <s v="-"/>
    <s v="-"/>
    <s v="-"/>
    <n v="60"/>
    <x v="2"/>
    <s v="Atendimento da RDU Bandeirantes e clientes rurais"/>
  </r>
  <r>
    <n v="2026"/>
    <s v="ETO-TELE 00881/2026"/>
    <x v="3"/>
    <n v="5851753086"/>
    <x v="0"/>
    <d v="2026-06-02T00:00:00"/>
    <n v="86"/>
    <s v="MARIANOPOLIS"/>
    <s v="DIVINOPOLIS"/>
    <s v="CENTRO"/>
    <s v="LD05062013"/>
    <s v="PARECER DMSL: FAVOR SOLUCIONAR PENDENCIAS RT: 5851753086Relé R.U.A  Data: _19/05/2026Sid: 2740/2026Possui rádio?: SimPossui antena?: SimPossui módulo nobreak?: SimServiço Executado: * Feito testes no equipamento,o mesmo está normal.* Será necessário fazer melhorias na malha de terra e colocar em operação.Equipamento ficou em operação? Não Pendência: Sim. É necessário fazer melhorias na malha de aterramento.Bateria(s) substituída(s)? _nao Data Fabricação/Instalação da(s) bateria(s): 12/2025Equipe: Jean e BenvindoPARECER DCMD: FEITO MELHORIA NA MALHA DO ATERRAMENTO, FAVOR ENVIAR EQUIPE PARA COLOCA-LO EM OPERAÇÃORT 5851753086MESMO ESTA BY-PASSADO EM CAMPO EQUIPE SINERGIA 086OP01 ESTEVE NO LOCAL APARENTIMENTE SEM DEFEITO APARENTE MESMO FOI BY PASSADO POR TER TIRADO LINHA.DESDE ENTAO MESMO NAO VOLTOU PARA OPERAÇÃO .FAVOR VERIFICAR PARA TESTES POSSIVEIS .PARA QUE O MESMO VOLTA COM DISPONIBILIDADE PARA OPERAÇÃO ."/>
    <n v="0"/>
    <n v="20"/>
    <n v="20"/>
    <n v="10"/>
    <n v="10"/>
    <s v="-"/>
    <s v="-"/>
    <s v="-"/>
    <n v="60"/>
    <x v="2"/>
    <s v="Atendimento da RDU Marianópolis e clientes rurais"/>
  </r>
  <r>
    <n v="2026"/>
    <s v="ETO-TELE 00986/2026"/>
    <x v="3"/>
    <n v="5846328094"/>
    <x v="0"/>
    <d v="2026-07-08T00:00:00"/>
    <n v="94"/>
    <s v="PEIXE"/>
    <s v="PEIXE"/>
    <s v="SUL"/>
    <s v="LD04040003"/>
    <s v="COCM SUL - 07/07/2026 - FOI REALIZADO MELHORIA DE ATERRAMENTO E FEITO A MANUTENÇÕES E TODAS AS CHAVES E SUBSTITUIDO OS CONECTORES.PARECER COEP: MELHORIA DE ATERRAMENTO É COCM'S, FAVOR ENCAMINHAR DIRETAMENTE PARA ELES, COCM'S REALIZAR MELHORIA DE ATERRAMENTO POR FAVORPor genteliiza verificar RT 5846328094 situação de equipamento, se encontra by passado em campoPARECER DMSL:Favor, realizar melhoria de aterramento que se encontra alta e substituir todos os conectores das buchas por conectores estrangulador."/>
    <n v="0"/>
    <n v="20"/>
    <n v="20"/>
    <n v="10"/>
    <n v="10"/>
    <s v="-"/>
    <s v="-"/>
    <s v="-"/>
    <n v="60"/>
    <x v="2"/>
    <s v="Atendimento da RDU Sucupira e clientes rurais"/>
  </r>
  <r>
    <n v="2025"/>
    <s v="ETO-COEP 00184/2025"/>
    <x v="2"/>
    <n v="7903112004"/>
    <x v="1"/>
    <d v="2025-09-03T00:00:00"/>
    <n v="4"/>
    <s v="ARAGUAINA"/>
    <s v="ARAGUAINA"/>
    <s v="NORTE"/>
    <s v="LD05010004"/>
    <s v="20/07 PARECER COEP: EQUIPAMENTO SELECIONADO PARA COMPRAApós testes no RLG 7903112004 foi constatado defeito no mesmo e como se trata de um modelo COOPER FORM6 que está obsoleto e não possuímos peças sobressalentes, faz-se necessária substituição completa por modelo NOJA RC10."/>
    <n v="15"/>
    <n v="10"/>
    <n v="5"/>
    <n v="15"/>
    <n v="0"/>
    <n v="10"/>
    <n v="0"/>
    <n v="0"/>
    <n v="55"/>
    <x v="1"/>
    <s v="Transferência de Babaçulândia, 4 RLs sendo 2 operando"/>
  </r>
  <r>
    <n v="2025"/>
    <s v="ETO-COEP 00120/2025"/>
    <x v="2"/>
    <n v="7920024127"/>
    <x v="1"/>
    <d v="2025-07-01T00:00:00"/>
    <n v="127"/>
    <s v="PALMEIRAS DO TOCANTINS"/>
    <s v="TOCANTINOPOLIS"/>
    <s v="NORTE"/>
    <s v="LD01084002"/>
    <s v="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
    <n v="15"/>
    <n v="10"/>
    <n v="5"/>
    <n v="15"/>
    <n v="0"/>
    <n v="10"/>
    <n v="0"/>
    <n v="0"/>
    <n v="55"/>
    <x v="1"/>
    <s v="Transferência de Palmeiras, 3 fontes operando"/>
  </r>
  <r>
    <n v="2026"/>
    <s v="ETO-COEP 00029/2026"/>
    <x v="2"/>
    <n v="7927646026"/>
    <x v="1"/>
    <d v="2026-02-04T00:00:00"/>
    <n v="26"/>
    <s v="PONTE ALTA TOCANTINS"/>
    <s v="PONTE ALTA TOCANTINS"/>
    <s v="CENTRO"/>
    <s v="LD03046026"/>
    <s v="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
    <n v="15"/>
    <n v="10"/>
    <n v="5"/>
    <n v="0"/>
    <n v="15"/>
    <n v="0"/>
    <n v="10"/>
    <n v="0"/>
    <n v="55"/>
    <x v="1"/>
    <s v="Opção de isolação de São Félix e Mateiros para alimentação por gerador"/>
  </r>
  <r>
    <n v="2026"/>
    <s v="ETO-PROT 00156/2026"/>
    <x v="5"/>
    <n v="7927169001"/>
    <x v="1"/>
    <d v="2026-07-21T00:00:00"/>
    <n v="1"/>
    <s v="PORTO NACIONAL"/>
    <s v="PORTO NACIONAL"/>
    <s v="CENTRO"/>
    <s v="AL01102271"/>
    <s v="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 Parecer COCM******Subsituido Tranque do RL pela Ordem de Serviço DLP-MPPA01 247/2026 RELATORIO EM ANEXO DA O.S EXECUTORA"/>
    <n v="5"/>
    <n v="5"/>
    <n v="15"/>
    <n v="0"/>
    <n v="15"/>
    <n v="0"/>
    <n v="0"/>
    <n v="15"/>
    <n v="55"/>
    <x v="1"/>
    <s v="Transferência dos Grupos A -  VLI e Frisia"/>
  </r>
  <r>
    <n v="2026"/>
    <s v="ETO-RD-PO 00097/2026"/>
    <x v="0"/>
    <n v="5800291035"/>
    <x v="0"/>
    <d v="2026-03-31T00:00:00"/>
    <n v="35"/>
    <s v="MONTE DO CARMO"/>
    <s v="PONTE ALTA TOCANTINS"/>
    <s v="CENTRO"/>
    <s v="LD01051035"/>
    <s v="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Obs.: Fizeram melhoria na malha de terra, mas não está dentro do aceitável! As outras pendências continuam, favor corrigir. Equipamento ficou em operação?: Não  - Equipe: Benvindo e Kaique- SS ANTIGA ETO-TELE 358/2026"/>
    <n v="0"/>
    <n v="20"/>
    <n v="20"/>
    <n v="10"/>
    <n v="0"/>
    <s v="-"/>
    <s v="-"/>
    <s v="-"/>
    <n v="50"/>
    <x v="2"/>
    <s v="Aumento de reclamações no atendimento de Silvanópolis por Monte do Carmo no período seco"/>
  </r>
  <r>
    <n v="2026"/>
    <s v="ETO-COEP 00150/2026"/>
    <x v="2"/>
    <n v="7930428001"/>
    <x v="1"/>
    <d v="2026-07-20T00:00:00"/>
    <n v="1"/>
    <s v="PORTO NACIONAL"/>
    <s v="PORTO NACIONAL"/>
    <s v="CENTRO"/>
    <s v="LD01100001"/>
    <s v="PARECER DMSL DATA 16/07/2026: será necessário fazer a substituição da parte ativa do equipamento.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
    <n v="5"/>
    <n v="5"/>
    <n v="15"/>
    <n v="0"/>
    <n v="15"/>
    <n v="10"/>
    <n v="0"/>
    <n v="0"/>
    <n v="50"/>
    <x v="1"/>
    <s v="Transferência dos Grupos A -  Ramal do Rossato (TF 225kVA e TF 750kVA)"/>
  </r>
  <r>
    <n v="2026"/>
    <s v="ETO-RD-PS 00289/2026"/>
    <x v="7"/>
    <n v="5827102054"/>
    <x v="0"/>
    <d v="2026-06-29T00:00:00"/>
    <n v="54"/>
    <s v="PUGMIL"/>
    <s v="PARAISO DO TOCANTINS"/>
    <s v="CENTRO"/>
    <s v="LD01062013"/>
    <s v="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
    <n v="0"/>
    <n v="20"/>
    <n v="20"/>
    <n v="10"/>
    <n v="0"/>
    <s v="-"/>
    <s v="-"/>
    <s v="-"/>
    <n v="50"/>
    <x v="2"/>
    <s v="Aumento de reclamações no atendimento de Pugmil no período seco"/>
  </r>
  <r>
    <n v="2025"/>
    <s v="ETO-COEP 00221/2025"/>
    <x v="2"/>
    <n v="5800961074"/>
    <x v="0"/>
    <d v="2025-12-05T00:00:00"/>
    <n v="74"/>
    <s v="DIANOPOLIS"/>
    <s v="DIANOPOLIS"/>
    <s v="SUL"/>
    <s v="LD03028074"/>
    <s v="PARECER COEP: EQUIPAMENTO SELECIONADO PARA COMPRASubstituir as 3 células- Melhoria na malha de aterramento - Melhoria no circuito de aterramento qua aterra as células.- Substituir conectores paralelos"/>
    <n v="20"/>
    <n v="0"/>
    <n v="0"/>
    <n v="20"/>
    <n v="0"/>
    <s v="-"/>
    <s v="-"/>
    <s v="-"/>
    <n v="40"/>
    <x v="2"/>
    <s v="Atendimento da COELBA e GA Alessandro Maurício (1600 kVA)"/>
  </r>
  <r>
    <n v="2026"/>
    <s v="ETO-COEP 00063/2026"/>
    <x v="2"/>
    <n v="7944559149"/>
    <x v="1"/>
    <d v="2026-03-31T00:00:00"/>
    <n v="149"/>
    <s v="CASEARA"/>
    <s v="DIVINOPOLIS"/>
    <s v="CENTRO"/>
    <s v="LD01434149"/>
    <s v="14/07/2026 PARECER COEP: EQUIPAMENTO SELECIONADO PARA COMPRA Equipamento ficou em operação?: NãoPendência: Sim será necessário substituir a placaServiço Executado:  curto na placa foi tentando recuperar a mesma porém não teve sucesso!Bateria(s)substituída(s)? NÃOEquipe: Kaique e benvido"/>
    <n v="5"/>
    <n v="10"/>
    <n v="0"/>
    <n v="0"/>
    <n v="15"/>
    <n v="10"/>
    <n v="0"/>
    <n v="0"/>
    <n v="40"/>
    <x v="2"/>
    <s v="Atendimento de cargas rurais entre Caseaarra e Araguacema (221 UCs)"/>
  </r>
  <r>
    <n v="2026"/>
    <s v="ETO-COEP 00129/2026"/>
    <x v="2"/>
    <n v="7937102148"/>
    <x v="1"/>
    <d v="2026-07-07T00:00:00"/>
    <n v="148"/>
    <s v="SAO VALERIO DA NATIVIDADE"/>
    <s v="PEIXE"/>
    <s v="SUL"/>
    <s v="LD01066094"/>
    <s v="PARECER COEP: REAVALIAR DISPONIBILIDADE DO EQUIPAMENTO NO SCADA ASSIM COMO , FORNECER MODELO DO EQUIPAMENTO E FAIXA DE TENSÃO PARA COMPRA / AQUISIÇÃOTanque com defeito, realizar substituição do tanque."/>
    <n v="5"/>
    <n v="5"/>
    <n v="5"/>
    <n v="0"/>
    <n v="15"/>
    <n v="10"/>
    <n v="0"/>
    <n v="0"/>
    <n v="40"/>
    <x v="2"/>
    <s v="Fonte principal do Ramal Serranópolis (181 UCs), RL de transferência operando"/>
  </r>
  <r>
    <n v="2026"/>
    <s v="ETO-PROT 00135/2026"/>
    <x v="5"/>
    <n v="7922995039"/>
    <x v="1"/>
    <d v="2026-06-29T00:00:00"/>
    <n v="39"/>
    <s v="ARAGUATINS"/>
    <s v="AUGUSTINOPOLIS"/>
    <s v="NORTE"/>
    <s v="AL03109039"/>
    <s v="PARECER COEP: Equipamento em operação, instalado com sucesso, segue para Proteção para ajustesPARECER DMSL: Após testes, equipe DMSL constatou que o RLG 7922995039 encontra-se com parte ativa e controle danificados. Favor, realizar substituição completa do equipamento.Troca do sistema de comunicação do equipamento"/>
    <n v="5"/>
    <n v="5"/>
    <n v="0"/>
    <n v="0"/>
    <n v="15"/>
    <n v="10"/>
    <n v="0"/>
    <n v="0"/>
    <n v="35"/>
    <x v="2"/>
    <s v="Atendimento do PA Esperança Viva (396 UCs)"/>
  </r>
  <r>
    <n v="2026"/>
    <s v="ETO-COEP 00024/2026"/>
    <x v="2"/>
    <n v="7933585074"/>
    <x v="1"/>
    <d v="2026-01-27T00:00:00"/>
    <n v="74"/>
    <s v="DIANOPOLIS"/>
    <s v="DIANOPOLIS"/>
    <s v="SUL"/>
    <s v="LD03028074"/>
    <s v="30/06 PARECER COEP: EQUIPAMENTO SELECIONADO PARA COMPRAREALIZAR SUBSTITUIÇÃO DO TANQUE, O MESMO ESTÁ COM DEFEITO."/>
    <n v="5"/>
    <n v="5"/>
    <n v="15"/>
    <n v="0"/>
    <n v="0"/>
    <n v="0"/>
    <n v="10"/>
    <n v="0"/>
    <n v="35"/>
    <x v="2"/>
    <s v="Atendimento da COELBA"/>
  </r>
  <r>
    <n v="2026"/>
    <s v="ETO-COEP 00133/2026"/>
    <x v="2"/>
    <n v="7955986084"/>
    <x v="1"/>
    <d v="2026-07-08T00:00:00"/>
    <n v="84"/>
    <s v="DIVINOPOLIS"/>
    <s v="DIVINOPOLIS"/>
    <s v="CENTRO"/>
    <s v="LD04062013"/>
    <s v="14/07/2026 PARECER COEP : SUBSTIUIR CONTROLE COMPLETOPARECER DMSL: Equipamento com a placa de alimentação ca em curto, será necessário substituir a placa do equipamento. (Antiga nota era pra ter sido repassada porém foi baixada indevidamente pela equipe)"/>
    <n v="5"/>
    <n v="5"/>
    <n v="0"/>
    <n v="0"/>
    <n v="15"/>
    <n v="10"/>
    <n v="0"/>
    <n v="0"/>
    <n v="35"/>
    <x v="2"/>
    <s v="Transferência de cargas do 444R da SE Paraíso I"/>
  </r>
  <r>
    <n v="2026"/>
    <s v="ETO-COEP 00045/2026"/>
    <x v="2"/>
    <n v="7927396052"/>
    <x v="1"/>
    <d v="2026-03-02T00:00:00"/>
    <n v="52"/>
    <s v="FORMOSO DO ARAGUAIA"/>
    <s v="FORMOSO DO ARAGUAIA"/>
    <s v="SUL"/>
    <s v="LD03036052"/>
    <s v="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
    <n v="5"/>
    <n v="5"/>
    <n v="0"/>
    <n v="0"/>
    <n v="15"/>
    <n v="10"/>
    <n v="0"/>
    <n v="0"/>
    <n v="35"/>
    <x v="2"/>
    <s v="Equipamento localizado Fonte principal de atendimento a SE Cobrape"/>
  </r>
  <r>
    <n v="2026"/>
    <s v="ETO-COEP 00058/2026"/>
    <x v="2"/>
    <n v="7925733015"/>
    <x v="1"/>
    <d v="2026-03-30T00:00:00"/>
    <n v="15"/>
    <s v="PEDRO AFONSO"/>
    <s v="GUARAI"/>
    <s v="NORTE"/>
    <s v="LD01414015"/>
    <s v="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
    <n v="5"/>
    <n v="5"/>
    <n v="0"/>
    <n v="0"/>
    <n v="15"/>
    <n v="10"/>
    <n v="0"/>
    <n v="0"/>
    <n v="35"/>
    <x v="2"/>
    <s v="Transferência do Ramal Agrovila (73 UCs)"/>
  </r>
  <r>
    <n v="2026"/>
    <s v="ETO-COEP 00125/2026"/>
    <x v="2"/>
    <n v="7900525015"/>
    <x v="1"/>
    <d v="2026-07-07T00:00:00"/>
    <n v="15"/>
    <s v="PEDRO AFONSO"/>
    <s v="GUARAI"/>
    <s v="NORTE"/>
    <s v="LD02424015"/>
    <s v="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
    <n v="5"/>
    <n v="5"/>
    <n v="0"/>
    <n v="0"/>
    <n v="15"/>
    <n v="10"/>
    <n v="0"/>
    <n v="0"/>
    <n v="35"/>
    <x v="2"/>
    <s v="Tranferência do Ramal do Chaparral (251 UCs)"/>
  </r>
  <r>
    <n v="2026"/>
    <s v="ETO-COEP 00038/2026"/>
    <x v="2"/>
    <n v="7908249152"/>
    <x v="1"/>
    <d v="2026-02-24T00:00:00"/>
    <n v="152"/>
    <s v="SANTA ROSA DO TOCANTINS"/>
    <s v="PORTO NACIONAL"/>
    <s v="CENTRO"/>
    <s v="LD02072001"/>
    <s v="14/07/2026 PARECER COEP: EQUIPAMENTO SELECIONADO PARA COMPRA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
    <n v="5"/>
    <n v="5"/>
    <n v="0"/>
    <n v="0"/>
    <n v="15"/>
    <n v="10"/>
    <n v="0"/>
    <n v="0"/>
    <n v="35"/>
    <x v="2"/>
    <s v="Atendimento de zona rural em Santa Rosa (160 UCs)"/>
  </r>
  <r>
    <n v="2026"/>
    <s v="ETO-PROT 00155/2026"/>
    <x v="5"/>
    <n v="7942572059"/>
    <x v="1"/>
    <d v="2026-07-21T00:00:00"/>
    <n v="59"/>
    <s v="TAQUARALTO"/>
    <s v="TAQUARALTO"/>
    <s v="CENTRO"/>
    <s v="LD02059122"/>
    <s v="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 Parcecer do COCM CENTRO-****FEITO A MALHAR DE ATERRAMENTO ATENDIDA PELA ORDEM DE SERVIÇO DLP-MLPA02 91/2026 COM RELATORIO EM ANEXO A O.S"/>
    <n v="5"/>
    <n v="5"/>
    <n v="15"/>
    <n v="0"/>
    <n v="0"/>
    <n v="0"/>
    <n v="10"/>
    <n v="0"/>
    <n v="35"/>
    <x v="2"/>
    <s v="Atendimento do Ramal do Marasca e GAs (108 UCs)"/>
  </r>
  <r>
    <n v="2026"/>
    <s v="ETO-COEP 00123/2026"/>
    <x v="2"/>
    <n v="7928564039"/>
    <x v="1"/>
    <d v="2026-07-07T00:00:00"/>
    <n v="39"/>
    <s v="ARAGUATINS"/>
    <s v="AUGUSTINOPOLIS"/>
    <s v="NORTE"/>
    <s v="LD02109039"/>
    <s v="PARECER COEP: EQUIPAMENTO SELECIONADO PARA COMPRATroca do sistema de comunicação do equipamentoDMSL 28/07/2025: Equipamento com tanque, modulo e rele com defeito, solicitar troca do equipamento ao DCMD.Fotos vão ser enviadas por e-mail"/>
    <n v="5"/>
    <n v="10"/>
    <n v="5"/>
    <n v="0"/>
    <n v="0"/>
    <n v="10"/>
    <n v="0"/>
    <n v="0"/>
    <n v="30"/>
    <x v="2"/>
    <s v="Transferência entre 424R Araguatins e 434R Augustinópolis"/>
  </r>
  <r>
    <n v="2026"/>
    <s v="ETO-COEP 00156/2026"/>
    <x v="2"/>
    <n v="5855411017"/>
    <x v="0"/>
    <d v="2026-07-24T00:00:00"/>
    <n v="17"/>
    <s v="BARROLANDIA"/>
    <s v="MIRACEMA DO TOCANTINS"/>
    <s v="CENTRO"/>
    <s v="AL02017017"/>
    <s v="20/07 PARECER COCM: NÃO RECEBEMOS MATERIAL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
    <n v="0"/>
    <n v="0"/>
    <n v="0"/>
    <n v="10"/>
    <n v="20"/>
    <s v="-"/>
    <s v="-"/>
    <s v="-"/>
    <n v="30"/>
    <x v="3"/>
    <s v="Atendimento do Assentamento Irmã Adelaide"/>
  </r>
  <r>
    <n v="2026"/>
    <s v="ETO-TELE 01002/2026"/>
    <x v="3"/>
    <n v="7908196047"/>
    <x v="1"/>
    <d v="2026-07-13T00:00:00"/>
    <n v="47"/>
    <s v="FIGUEIROPOLIS"/>
    <s v="FORMOSO DO ARAGUAIA"/>
    <s v="SUL"/>
    <s v="AL02033047"/>
    <s v="13/07/2026 PARECER COEP: EQUIPAMENTO REMANEJADO FAVOR FAZER O COMISSIONAMENTORELIGADOR N° 7908196047 REMANEJADO NA OBRA 0402401150 GENTILEZA, REALIZAR O COMISSIONAMENTO. LAUDO EM ANEXO. COORD EO: 698485, 8657287PARECER DA PROTEÇÃO:AJUSTE DISPONIBILIZADO NO APP DA PROTEÇÃO, NOTA REPASSADA PARA DMSL COMISSIONAR, POLO GURUPI, RL APENAS REMANEJADO DA REDE VELHA PARA REDE NOVA, EQUIPAMENTO COOPER, SE MANTEVE O MESMO NÚMERO DE ATIVO.ENG° IRLLEY CASTELO BRANCO.PARECER DMSL: Constatado curto-circuito no tanque do religador, impedindo as operações de abertura e fechamento do equipamento. Solicita-se a substituição completa do religador, incluindo tanque e unidade de controle."/>
    <n v="5"/>
    <n v="5"/>
    <n v="5"/>
    <n v="0"/>
    <n v="0"/>
    <n v="0"/>
    <n v="10"/>
    <n v="0"/>
    <n v="25"/>
    <x v="3"/>
    <s v="Seccionamento do Rural e energização do 224R"/>
  </r>
  <r>
    <n v="2026"/>
    <s v="ETO-COEP 00134/2026"/>
    <x v="2"/>
    <n v="7955946007"/>
    <x v="1"/>
    <d v="2026-07-08T00:00:00"/>
    <n v="7"/>
    <s v="MIRACEMA DO TOCANTINS"/>
    <s v="MIRACEMA DO TOCANTINS"/>
    <s v="CENTRO"/>
    <s v="LD05050008"/>
    <s v="13/07/2026 PARECER COEP: SUBSTITUIR CONTOLE OU MANDAR MANUTENCIONAR EM CASO DE PRIORIDADE ALTAPARECER DMSL: Necessário substituir a placa de alimentação ca, a mesma está em curto não conseguimos recuperar. (Antiga nota era pra ter sido repassada porém foi baixada indevidamente pela equipe)"/>
    <n v="5"/>
    <n v="5"/>
    <n v="5"/>
    <n v="0"/>
    <n v="0"/>
    <n v="0"/>
    <n v="10"/>
    <n v="0"/>
    <n v="25"/>
    <x v="3"/>
    <s v="Alimentação do serviço auxiliar da Investco e clientes rurais (260 UCs)"/>
  </r>
  <r>
    <n v="2026"/>
    <s v="ETO-COEP 00148/2026"/>
    <x v="2"/>
    <n v="7923927122"/>
    <x v="1"/>
    <d v="2026-07-16T00:00:00"/>
    <n v="122"/>
    <s v="PALMAS"/>
    <s v="PALMAS"/>
    <s v="CENTRO"/>
    <s v="LD02059122"/>
    <s v="PARECER DMSL 16/07: Nota solicitada ao DMSL com a informação de que o tanque precisa ser substituído. Estou encaminhando a nota para a área responsável.Segue nota para envia manutenção substituir tanque do RL-7923927122 em curto, Anomalia identificada desarme das LD, s Palmas / Aparecida e Palmas Taquaruçu, Acesso livre, Tensão 34,5kv, Local RL de Interligação entre 424R / 414R."/>
    <n v="15"/>
    <n v="0"/>
    <n v="0"/>
    <n v="0"/>
    <n v="0"/>
    <n v="10"/>
    <n v="0"/>
    <n v="0"/>
    <n v="25"/>
    <x v="3"/>
    <s v="Transferência entre 414R e 424R SE Palmas II"/>
  </r>
  <r>
    <n v="2025"/>
    <s v="ETO-COEP 00158/2025"/>
    <x v="2"/>
    <n v="7942485096"/>
    <x v="1"/>
    <d v="2025-07-23T00:00:00"/>
    <n v="96"/>
    <s v="PINDORAMA DO TOCANTINS"/>
    <s v="PONTE ALTA TOCANTINS"/>
    <s v="CENTRO"/>
    <s v="LD03046026"/>
    <s v="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
    <n v="5"/>
    <n v="5"/>
    <n v="5"/>
    <n v="0"/>
    <n v="0"/>
    <n v="10"/>
    <n v="0"/>
    <n v="0"/>
    <n v="25"/>
    <x v="3"/>
    <s v="Transferência da PCH Bagagem"/>
  </r>
  <r>
    <n v="2026"/>
    <s v="ETO-COEP 00132/2026"/>
    <x v="2"/>
    <n v="7921202014"/>
    <x v="1"/>
    <d v="2026-07-08T00:00:00"/>
    <n v="14"/>
    <s v="PIUM"/>
    <s v="PARAISO DO TOCANTINS"/>
    <s v="CENTRO"/>
    <s v="LD01025012"/>
    <s v="PARECER COEP: EQUIPAMENTO SELECIONADO PARA COMPRA , DEVERIA SER SUBSTITUIDO PARTE ATIVA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
    <n v="5"/>
    <n v="5"/>
    <n v="5"/>
    <n v="0"/>
    <n v="0"/>
    <n v="10"/>
    <n v="0"/>
    <n v="0"/>
    <n v="25"/>
    <x v="3"/>
    <s v="Atendimento de Clientes rurais (483 UCs)"/>
  </r>
  <r>
    <n v="2025"/>
    <s v="ETO-COEP 00143/2025"/>
    <x v="2"/>
    <n v="7927446001"/>
    <x v="1"/>
    <d v="2025-07-08T00:00:00"/>
    <n v="1"/>
    <s v="PORTO NACIONAL"/>
    <s v="PORTO NACIONAL"/>
    <s v="CENTRO"/>
    <s v="LD02072001"/>
    <s v="30/06 PARECER COEP: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
    <n v="5"/>
    <n v="5"/>
    <n v="5"/>
    <n v="0"/>
    <n v="0"/>
    <n v="10"/>
    <n v="0"/>
    <n v="0"/>
    <n v="25"/>
    <x v="3"/>
    <s v="Alimentação de Monte do Carmo por Porto Nacional"/>
  </r>
  <r>
    <n v="2026"/>
    <s v="ETO-COEP 00128/2026"/>
    <x v="2"/>
    <n v="7928241200"/>
    <x v="1"/>
    <d v="2026-07-07T00:00:00"/>
    <n v="200"/>
    <s v="SAO SALVADOR DO TOCANTINS"/>
    <s v="PEIXE"/>
    <s v="SUL"/>
    <s v="LD02066094"/>
    <s v="PARECER COEP: EQUIPAMENTO SELECIONADO  PARA COMPRA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
    <n v="5"/>
    <n v="5"/>
    <n v="5"/>
    <n v="0"/>
    <n v="0"/>
    <n v="10"/>
    <n v="0"/>
    <n v="0"/>
    <n v="25"/>
    <x v="3"/>
    <s v="Fonte principal do Ramal do Retiro (246UCs), RL transferência by-passado"/>
  </r>
  <r>
    <n v="2026"/>
    <s v="ETO-COEP 00061/2026"/>
    <x v="2"/>
    <n v="7901110084"/>
    <x v="1"/>
    <d v="2026-03-31T00:00:00"/>
    <n v="84"/>
    <s v="DIVINOPOLIS"/>
    <s v="DIVINOPOLIS"/>
    <s v="CENTRO"/>
    <s v="LD04062013"/>
    <s v="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
    <n v="5"/>
    <n v="5"/>
    <n v="0"/>
    <n v="0"/>
    <n v="0"/>
    <n v="0"/>
    <n v="10"/>
    <n v="0"/>
    <n v="20"/>
    <x v="3"/>
    <s v="Localizado na fonte principal de atendimento de Divinópolis e Abreulândia"/>
  </r>
  <r>
    <n v="2026"/>
    <s v="ETO-COEP 00114/2026"/>
    <x v="2"/>
    <n v="7913662076"/>
    <x v="1"/>
    <d v="2026-06-10T00:00:00"/>
    <n v="76"/>
    <s v="DUERE"/>
    <s v="GURUPI"/>
    <s v="SUL"/>
    <s v="AL01031076"/>
    <s v="30/06 PARECER COEP: AGUARDANDO RETORNO DO DMSL PARA ENTENDER EXATAMENTE O QUE TENHO QUE SUBSTITUIRAberto nota para substituir tanque danificado e chave de entrada fase B danificadaPARECER DMSL: Foi confirmado pela equipe DMSL o defeito do tanque, favor seguir com a substituição e correção da chave de entrada fase B danificada."/>
    <n v="5"/>
    <n v="5"/>
    <n v="0"/>
    <n v="0"/>
    <n v="0"/>
    <n v="10"/>
    <n v="0"/>
    <n v="0"/>
    <n v="20"/>
    <x v="3"/>
    <s v="Atendimento do Ramal do Bacuri (168 UCs)"/>
  </r>
  <r>
    <n v="2026"/>
    <s v="ETO-RD-DP 00457/2026"/>
    <x v="4"/>
    <n v="5862236091"/>
    <x v="0"/>
    <d v="2026-07-20T00:00:00"/>
    <n v="91"/>
    <s v="ALMAS"/>
    <s v="DIANOPOLIS"/>
    <s v="SUL"/>
    <s v="LD05002091"/>
    <s v="20/07 PARECER COEP: EQUIPAMENTO ENTREGUE , FAVOR EDITAR A SS COM A DATA PREVISTA DE SUBSTITUIÇÃO NO PARECER DOS COCM´S Realizar substituição da FASE B.Célula da fase B estava com a tampa do contador de tape aberta, pegou chuva e molhou os contatos danificando a peça toda."/>
    <n v="0"/>
    <n v="0"/>
    <n v="0"/>
    <n v="20"/>
    <n v="0"/>
    <s v="-"/>
    <s v="-"/>
    <s v="-"/>
    <n v="20"/>
    <x v="3"/>
    <s v="Atendimento da LD Vale Rio Doce (Nova Aura Mineradora)"/>
  </r>
  <r>
    <n v="2026"/>
    <s v="ETO-COEP 00095/2026"/>
    <x v="2"/>
    <n v="5836786094"/>
    <x v="0"/>
    <d v="2026-05-18T00:00:00"/>
    <n v="94"/>
    <s v="PEIXE"/>
    <s v="PEIXE"/>
    <s v="SUL"/>
    <s v="LD01066094"/>
    <s v="24/07 PARECER COEP:EQUIPAMENTO EM LOGISTICA DE ENTREGA Favor levar outro regulador de tensão, pois o mesmo foi furtado em campo."/>
    <n v="0"/>
    <n v="0"/>
    <n v="0"/>
    <n v="10"/>
    <n v="10"/>
    <s v="-"/>
    <s v="-"/>
    <s v="-"/>
    <n v="20"/>
    <x v="3"/>
    <s v="Atendimento de clientes rurais na LD Peixe Angical - Peixe"/>
  </r>
  <r>
    <n v="2026"/>
    <s v="ETO-RD-PS 00327/2026"/>
    <x v="7"/>
    <n v="7919270014"/>
    <x v="1"/>
    <d v="2026-07-22T00:00:00"/>
    <n v="14"/>
    <s v="PIUM"/>
    <s v="PARAISO DO TOCANTINS"/>
    <s v="CENTRO"/>
    <s v="LD01047073"/>
    <s v="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13/07/2026 PARECER COEP: SUBSTITUIÇÃO REALZIADA , FAVOR COMISSIONARPARECER DMSL (22/07/26): Solicito que o laudo de substituição seja anexado, e a SS seja repassada para proteção atribuir a ordem de ajuste, antes de repassar para ETO-TELE.----------------------------------------------PARECER DA PROTEÇÃO: Prosseguir com o comissionamento. Ajustes de religador permanecem os mesmos, disponíveis no APP da Proteção.********************************RELIGADOR N°7919270014 REMANEJADO NA OBRA 0212501060 GENTILEZA, REALIZAR O COMISSIONAMENTO. LAUDO EM ANEXO. COORD EO: 617422, 8830787"/>
    <n v="5"/>
    <n v="5"/>
    <n v="0"/>
    <n v="0"/>
    <n v="0"/>
    <n v="10"/>
    <n v="0"/>
    <n v="0"/>
    <n v="20"/>
    <x v="3"/>
    <s v="Atendimento de Clientes rurais (48 UCs)"/>
  </r>
  <r>
    <n v="2026"/>
    <s v="ETO-COEP 00051/2026"/>
    <x v="2"/>
    <n v="7926442035"/>
    <x v="1"/>
    <d v="2026-03-18T00:00:00"/>
    <n v="35"/>
    <s v="MONTE DO CARMO"/>
    <s v="PONTE ALTA TOCANTINS"/>
    <s v="CENTRO"/>
    <s v="LD01051035"/>
    <s v="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
    <n v="5"/>
    <n v="5"/>
    <n v="0"/>
    <n v="0"/>
    <n v="0"/>
    <n v="0"/>
    <n v="10"/>
    <n v="0"/>
    <n v="20"/>
    <x v="3"/>
    <s v="Atenidmento do PA Principado (200 UCs)"/>
  </r>
  <r>
    <n v="2026"/>
    <s v="ETO-COEP 00144/2026"/>
    <x v="2"/>
    <n v="7938137007"/>
    <x v="1"/>
    <d v="2026-07-15T00:00:00"/>
    <n v="7"/>
    <s v="MIRACEMA DO TOCANTINS"/>
    <s v="MIRACEMA DO TOCANTINS"/>
    <s v="CENTRO"/>
    <s v="AL02017017"/>
    <s v="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 Material ainda não foi entregue para substituição 15/07/2026"/>
    <n v="5"/>
    <n v="5"/>
    <n v="5"/>
    <n v="0"/>
    <n v="0"/>
    <n v="0"/>
    <n v="0"/>
    <n v="0"/>
    <n v="15"/>
    <x v="3"/>
    <s v="Transferência do Irmã Adelaide (470 UCs)"/>
  </r>
  <r>
    <n v="2026"/>
    <s v="ETO-RD-DP 00403/2026"/>
    <x v="4"/>
    <n v="5856156091"/>
    <x v="0"/>
    <d v="2026-06-29T00:00:00"/>
    <n v="91"/>
    <s v="ALMAS"/>
    <s v="DIANOPOLIS"/>
    <s v="SUL"/>
    <s v="LD04002091"/>
    <s v="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
    <n v="0"/>
    <n v="0"/>
    <n v="0"/>
    <n v="0"/>
    <n v="0"/>
    <s v="-"/>
    <s v="-"/>
    <s v="-"/>
    <n v="0"/>
    <x v="3"/>
    <s v="Equipamento novo furtado antes de ser colocado em operação"/>
  </r>
  <r>
    <n v="2026"/>
    <s v="ETO-TELE 01032/2026"/>
    <x v="3"/>
    <n v="5858783119"/>
    <x v="0"/>
    <d v="2026-07-27T00:00:00"/>
    <n v="119"/>
    <s v="SAO BENTO DO TOCANTINS"/>
    <s v="TOCANTINOPOLIS"/>
    <s v="NORTE"/>
    <s v="LD03005098"/>
    <s v="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
    <n v="0"/>
    <n v="0"/>
    <n v="0"/>
    <n v="0"/>
    <n v="0"/>
    <s v="-"/>
    <s v="-"/>
    <s v="-"/>
    <n v="0"/>
    <x v="3"/>
    <s v="Equipamento novo furtado antes de ser colocado em operação, não inserido no SCADA"/>
  </r>
  <r>
    <n v="2026"/>
    <s v="ETO-TELE 00982/2026"/>
    <x v="3"/>
    <n v="7955832052"/>
    <x v="1"/>
    <d v="2026-07-04T00:00:00"/>
    <n v="52"/>
    <s v="FORMOSO DO ARAGUAIA"/>
    <s v="FORMOSO DO ARAGUAIA"/>
    <s v="SUL"/>
    <s v="LD01035052"/>
    <s v="SEGUE SOLICITAÇÃO DE SERVIÇO PARA REALIZAR VERIFICAÇÃO DO RL 7955832052 EQUIPAMENTO DE INTEELIGAÇÃO O MESMO ESTA SEM COMUNICAÇÃO ...FOI REALIZADO PRIMEIRO ATAQUE COM EQUIPE SINERGIA DE FORMOSO EO EQUIPAMENTO NÃO VOLTOU"/>
    <m/>
    <m/>
    <m/>
    <m/>
    <m/>
    <m/>
    <m/>
    <m/>
    <n v="0"/>
    <x v="4"/>
    <m/>
  </r>
  <r>
    <n v="2026"/>
    <s v="ETO-COEP 00138/2026"/>
    <x v="2"/>
    <n v="7930359149"/>
    <x v="1"/>
    <d v="2026-07-13T00:00:00"/>
    <n v="149"/>
    <s v="CASEARA"/>
    <s v="DIVINOPOLIS"/>
    <s v="CENTRO"/>
    <s v="LD03414149"/>
    <s v="PARECER DMSL 07/07/2026: equipamento tem que ser subistuido pois não faz comando, parte ativa com defeito FEITO O PRIMEIRO ATAQUE NO RELIGADOR 7930359149 E MESMO NÃO ACEITA COMANDO NEM LOCAL E NEM REMOTO SEGUNDO EQUIPE 149OP02 E PLACA DO RL ESTA CARBONIZADA COM SINAL DE CURTO."/>
    <m/>
    <m/>
    <m/>
    <m/>
    <m/>
    <m/>
    <m/>
    <m/>
    <n v="0"/>
    <x v="4"/>
    <m/>
  </r>
  <r>
    <n v="2026"/>
    <s v="ETO-TELE 00932/2026"/>
    <x v="3"/>
    <n v="7902098003"/>
    <x v="1"/>
    <d v="2026-06-15T00:00:00"/>
    <n v="3"/>
    <s v="GURUPI"/>
    <s v="GURUPI"/>
    <s v="SUL"/>
    <s v="AL01041003"/>
    <s v="Segue SS de religador 7902098003 sem comunicação. Foi realizado o primeiro ataque porem o mesmo não retornou a comunicação."/>
    <m/>
    <m/>
    <m/>
    <m/>
    <m/>
    <m/>
    <m/>
    <m/>
    <n v="0"/>
    <x v="4"/>
    <m/>
  </r>
  <r>
    <n v="2026"/>
    <s v="ETO-COEP 00147/2026"/>
    <x v="2"/>
    <n v="7953211079"/>
    <x v="1"/>
    <d v="2026-07-16T00:00:00"/>
    <n v="79"/>
    <s v="ITAPIRATINS"/>
    <s v="GUARAI"/>
    <s v="NORTE"/>
    <s v="LD03038009"/>
    <s v="20/07 PARECER COEP: EQUIPAMENTO SELECIONADO PARA COMPRASegue nota para substituir relé religador avariado marca noja , equipamento N: 7953211079 - Itapiratins .Obs: informação repassado pelo técnico DMSL Bruno ."/>
    <m/>
    <m/>
    <m/>
    <m/>
    <m/>
    <m/>
    <m/>
    <m/>
    <n v="0"/>
    <x v="4"/>
    <m/>
  </r>
  <r>
    <n v="2026"/>
    <s v="ETO-TELE 00929/2026"/>
    <x v="3"/>
    <n v="7949648145"/>
    <x v="1"/>
    <d v="2026-06-13T00:00:00"/>
    <n v="145"/>
    <s v="MAURILANDIA DO TOCANTINS"/>
    <s v="AUGUSTINOPOLIS"/>
    <s v="NORTE"/>
    <s v="AL02043081"/>
    <s v="FEITO PRIMEIRO ATAQUE COM A EQUIPE LOCAL E NÃO VOLTOU A COMUNICAR. PROVIDENCIAR MANUTENÇÃO PARA O MESMO."/>
    <m/>
    <m/>
    <m/>
    <m/>
    <m/>
    <m/>
    <m/>
    <m/>
    <n v="0"/>
    <x v="4"/>
    <m/>
  </r>
  <r>
    <n v="2026"/>
    <s v="ETO-TELE 00938/2026"/>
    <x v="3"/>
    <n v="7908300096"/>
    <x v="1"/>
    <d v="2026-06-18T00:00:00"/>
    <n v="96"/>
    <s v="PINDORAMA DO TOCANTINS"/>
    <s v="PONTE ALTA TOCANTINS"/>
    <s v="CENTRO"/>
    <s v="LD03046026"/>
    <s v="Segue nota para verificar falha intermitência na comunicação RL 7908300096 RDU- Pindorama ."/>
    <m/>
    <m/>
    <m/>
    <m/>
    <m/>
    <m/>
    <m/>
    <m/>
    <n v="0"/>
    <x v="4"/>
    <m/>
  </r>
  <r>
    <n v="2026"/>
    <s v="ETO-TELE 00892/2026"/>
    <x v="3"/>
    <n v="7953570026"/>
    <x v="1"/>
    <d v="2026-06-06T00:00:00"/>
    <n v="26"/>
    <s v="PONTE ALTA TOCANTINS"/>
    <s v="PONTE ALTA TOCANTINS"/>
    <s v="CENTRO"/>
    <s v="LD03046026"/>
    <s v="Segue RL 7953570026 O MESMO FOI FEITO PRIMEIRO ATAQUE, painel do religador acendeu porem não voltou a comunicação junto ao SCADA, equipe fez teste em comando local, tudo normal porem sem retorno de comunicação, rl na SE DE PONTE ALTA"/>
    <m/>
    <m/>
    <m/>
    <m/>
    <m/>
    <m/>
    <m/>
    <m/>
    <n v="0"/>
    <x v="4"/>
    <m/>
  </r>
  <r>
    <n v="2026"/>
    <s v="DG-RD-PO 00444/2026"/>
    <x v="8"/>
    <n v="7911120026"/>
    <x v="1"/>
    <d v="2026-07-01T00:00:00"/>
    <n v="26"/>
    <s v="PONTE ALTA TOCANTINS"/>
    <s v="PONTE ALTA TOCANTINS"/>
    <s v="CENTRO"/>
    <s v="LD03046026"/>
    <s v="Segue nota para recuperar malha de aterramento no RL 7911120026 RDU- Ponte Alta .OBS: Provavelmente foi furtado cabos de aterramento   ."/>
    <m/>
    <m/>
    <m/>
    <m/>
    <m/>
    <m/>
    <m/>
    <m/>
    <n v="0"/>
    <x v="4"/>
    <m/>
  </r>
  <r>
    <n v="2026"/>
    <s v="ETO-TELE 01019/2026"/>
    <x v="3"/>
    <n v="7908716091"/>
    <x v="1"/>
    <d v="2026-07-20T00:00:00"/>
    <n v="91"/>
    <s v="ALMAS"/>
    <s v="DIANOPOLIS"/>
    <s v="SUL"/>
    <s v="LD03046026"/>
    <s v="Segue nota para verificar falha de comunicação no religador 7908716091 - Rural -  Almas  .Equipamento perdeu a comunicação quando faltou CA , porém mesmo ao retorna o CA não retornou à comunicação !"/>
    <m/>
    <m/>
    <m/>
    <m/>
    <m/>
    <m/>
    <m/>
    <m/>
    <m/>
    <x v="4"/>
    <m/>
  </r>
  <r>
    <n v="2026"/>
    <s v="ETO-TELE 01005/2026"/>
    <x v="3"/>
    <n v="5848305116"/>
    <x v="0"/>
    <d v="2026-07-15T00:00:00"/>
    <n v="116"/>
    <s v="CHAPADA DA NATIVIDADE"/>
    <s v="DIANOPOLIS"/>
    <s v="SUL"/>
    <s v="LD04002091"/>
    <s v="Segue nota para verificar falha e constantes travamento no regulador de tensão 5848305116 - chapada da Natividade .Foi identificado que regulador está com divergência em TAP&quot;S analógico e digital .Foi executado comandos no relé para comutar TAP na fase AB foi executado no relé , porém não alterou analógico e nem fez barulho algum , a princípio a fase C está normal ."/>
    <m/>
    <m/>
    <m/>
    <m/>
    <m/>
    <m/>
    <m/>
    <m/>
    <m/>
    <x v="4"/>
    <m/>
  </r>
  <r>
    <n v="2026"/>
    <s v="ETO-TELE 01007/2026"/>
    <x v="3"/>
    <n v="7961368005"/>
    <x v="1"/>
    <d v="2026-07-16T00:00:00"/>
    <n v="5"/>
    <s v="ARRAIAS"/>
    <s v="DIANOPOLIS"/>
    <s v="SUL"/>
    <s v="LD01110005"/>
    <s v="Favor verifcar Religador 7961368005 , equipamento sem comunicação , feito primeiro ataque com equipe operacional , porem não ouve retorno ."/>
    <m/>
    <m/>
    <m/>
    <m/>
    <m/>
    <m/>
    <m/>
    <m/>
    <m/>
    <x v="4"/>
    <m/>
  </r>
  <r>
    <n v="2026"/>
    <s v="ETO-TELE 01026/2026"/>
    <x v="3"/>
    <n v="7929663074"/>
    <x v="1"/>
    <d v="2026-07-23T00:00:00"/>
    <n v="74"/>
    <s v="DIANOPOLIS"/>
    <s v="DIANOPOLIS"/>
    <s v="SUL"/>
    <s v="LD05028074"/>
    <s v="Segue nota para verificar falha de comunicação no religador 7929663074  rural - Dianópolis  .Equipamento perde a comunicação quando falta CA !"/>
    <m/>
    <m/>
    <m/>
    <m/>
    <m/>
    <m/>
    <m/>
    <m/>
    <m/>
    <x v="4"/>
    <m/>
  </r>
  <r>
    <n v="2026"/>
    <s v="ETO-TELE 01029/2026"/>
    <x v="3"/>
    <n v="7900722193"/>
    <x v="1"/>
    <d v="2026-07-24T00:00:00"/>
    <n v="193"/>
    <s v="CAMPOS LINDOS"/>
    <s v="ARAGUAINA"/>
    <s v="NORTE"/>
    <s v="PS01112193"/>
    <s v="Religador sem comunicação, apos primeiro ataque não retornou a comunicação."/>
    <m/>
    <m/>
    <m/>
    <m/>
    <m/>
    <m/>
    <m/>
    <m/>
    <m/>
    <x v="4"/>
    <m/>
  </r>
  <r>
    <n v="2026"/>
    <s v="ETO-TELE 00999/2026"/>
    <x v="3"/>
    <n v="7955792076"/>
    <x v="1"/>
    <d v="2026-07-12T00:00:00"/>
    <n v="76"/>
    <s v="DUERE"/>
    <s v="GURUPI"/>
    <s v="SUL"/>
    <s v="LD02040003"/>
    <s v="RELIGADOR DE POSTE 7955792076 SEM COMUNIÇÃO COM COI ,FEITO PRIMEIRO ATAQUE COM EQUIPE OPERACIONAL O MESMO NÃO RETORNOU A COMUNICAÇÃO ENVIAR EQUIPE ESPECIAL VERIFICAR EM CAMPO"/>
    <m/>
    <m/>
    <m/>
    <m/>
    <m/>
    <m/>
    <m/>
    <m/>
    <m/>
    <x v="4"/>
    <m/>
  </r>
  <r>
    <n v="2026"/>
    <s v="ETO-TELE 00985/2026"/>
    <x v="3"/>
    <n v="5839141113"/>
    <x v="0"/>
    <d v="2026-07-07T00:00:00"/>
    <n v="113"/>
    <s v="COUTO MAGALHAES"/>
    <s v="GUARAI"/>
    <s v="NORTE"/>
    <s v="AL01024113"/>
    <s v="Segue nota para averiguar ajuste regulador de tensão N: 5839141113 - RDU - Couto Magalhães , e verificar falha de comunicação   .Equipe operacional verificou que vários transformadores urbanos estão com nível de tensão baixa .Foi feito primeiro ataque regulador está comutando normalmente as 3 fases , porém não está no nível adequado !Em campo regulador estava no Tap R1 - 02 , R2 + 01 , R3 +03Medições feitas :Transformador 5700010113     - NA: 205 NB: 206 NC: 210Transformador 5700011113      - NA: 204 NB: 206 NC: 209Transformador 5700333113       -NA: 205 NB: 207 NC: 208OBS: solicitar equipe para realizar medição aterramento ,  e verificar ajuste junto ao time proteção .  verificar falha de comunicação no equipamento ."/>
    <m/>
    <m/>
    <m/>
    <m/>
    <m/>
    <m/>
    <m/>
    <m/>
    <m/>
    <x v="4"/>
    <m/>
  </r>
  <r>
    <n v="2026"/>
    <s v="ETO-TELE 00998/2026"/>
    <x v="3"/>
    <n v="7908683122"/>
    <x v="1"/>
    <d v="2026-07-10T00:00:00"/>
    <n v="122"/>
    <s v="PALMAS"/>
    <s v="PALMAS"/>
    <s v="CENTRO"/>
    <s v="AL10059122"/>
    <s v="rl 7908683122  retirado de operaçao devido falha na base do rele  equipamento."/>
    <m/>
    <m/>
    <m/>
    <m/>
    <m/>
    <m/>
    <m/>
    <m/>
    <m/>
    <x v="4"/>
    <m/>
  </r>
  <r>
    <n v="2026"/>
    <s v="ETO-TELE 01027/2026"/>
    <x v="3"/>
    <n v="7923110021"/>
    <x v="1"/>
    <d v="2026-07-23T00:00:00"/>
    <n v="21"/>
    <s v="PARANA"/>
    <s v="PEIXE"/>
    <s v="SUL"/>
    <s v="LD03010021"/>
    <s v="Segue SS para verificar falha de comunicação no religador 7923110021. Equipe foi no local realizar primeiro ataque e informou que o radio de comunicação encontra-se com defeito"/>
    <m/>
    <m/>
    <m/>
    <m/>
    <m/>
    <m/>
    <m/>
    <m/>
    <m/>
    <x v="4"/>
    <m/>
  </r>
  <r>
    <n v="2026"/>
    <s v="ETO-TELE 01018/2026"/>
    <x v="3"/>
    <n v="7900001096"/>
    <x v="1"/>
    <d v="2026-07-20T00:00:00"/>
    <n v="96"/>
    <s v="PINDORAMA DO TOCANTINS"/>
    <s v="PONTE ALTA TOCANTINS"/>
    <s v="CENTRO"/>
    <s v="LD03046026"/>
    <s v="Segue nota para falha de comunicação no religador 7900001096 - Rural - Pindorama .Equipamento perdeu a comunicação quando faltou CA , porém mesmo ao retorna o CA não retornou a comunicação !Feito primeiro ataque sem sucesso !"/>
    <m/>
    <m/>
    <m/>
    <m/>
    <m/>
    <m/>
    <m/>
    <m/>
    <m/>
    <x v="4"/>
    <m/>
  </r>
  <r>
    <n v="2026"/>
    <s v="ETO-TELE 01020/2026"/>
    <x v="3"/>
    <n v="7900451096"/>
    <x v="1"/>
    <d v="2026-07-20T00:00:00"/>
    <n v="96"/>
    <s v="PINDORAMA DO TOCANTINS"/>
    <s v="PONTE ALTA TOCANTINS"/>
    <s v="CENTRO"/>
    <s v="LD03046026"/>
    <s v="Segue nota para verificar falha de comunicação no religador 7900451096 - Rural -  Pindorama  .Equipamento perde a comunicação quando falta CA !"/>
    <m/>
    <m/>
    <m/>
    <m/>
    <m/>
    <m/>
    <m/>
    <m/>
    <m/>
    <x v="4"/>
    <m/>
  </r>
  <r>
    <n v="2026"/>
    <s v="ETO-TELE 01021/2026"/>
    <x v="3"/>
    <n v="7900259096"/>
    <x v="1"/>
    <d v="2026-07-20T00:00:00"/>
    <n v="96"/>
    <s v="PINDORAMA DO TOCANTINS"/>
    <s v="PONTE ALTA TOCANTINS"/>
    <s v="CENTRO"/>
    <s v="LD03046026"/>
    <s v="Boa noite .Segue nota para verificar falha de comunicação no religador 7900259096 -  Pindorama .Equipamento perde a comunicação quando falta CA !"/>
    <m/>
    <m/>
    <m/>
    <m/>
    <m/>
    <m/>
    <m/>
    <m/>
    <m/>
    <x v="4"/>
    <m/>
  </r>
  <r>
    <n v="2025"/>
    <s v="ETO-COEP 00173/2025"/>
    <x v="2"/>
    <n v="7900535058"/>
    <x v="1"/>
    <d v="2025-08-25T00:00:00"/>
    <n v="58"/>
    <s v="SANTA FE DO ARAGUAIA"/>
    <s v="ARAGUAINA"/>
    <s v="NORTE"/>
    <s v="LD03010004"/>
    <s v="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
    <m/>
    <m/>
    <m/>
    <m/>
    <m/>
    <m/>
    <m/>
    <m/>
    <m/>
    <x v="4"/>
    <m/>
  </r>
  <r>
    <n v="2026"/>
    <s v="ETO-TELE 01008/2026"/>
    <x v="3"/>
    <n v="7962734119"/>
    <x v="1"/>
    <d v="2026-07-16T00:00:00"/>
    <n v="119"/>
    <s v="SAO BENTO DO TOCANTINS"/>
    <s v="TOCANTINOPOLIS"/>
    <s v="NORTE"/>
    <s v="LD03005098"/>
    <s v="por favor deslocar equipe da manutenção no RL 7962734119 por que foi feito o primeiro ataque no mesmo mais não voltou comunção no sistema escada"/>
    <m/>
    <m/>
    <m/>
    <m/>
    <m/>
    <m/>
    <m/>
    <m/>
    <m/>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
  <r>
    <n v="5800291077"/>
    <s v="58"/>
    <s v="GOIATINS"/>
    <s v="ARAGUAINA"/>
    <s v="NORTE"/>
    <s v="CONCLUÍDA"/>
    <x v="0"/>
    <x v="0"/>
    <x v="0"/>
    <x v="0"/>
    <m/>
    <s v=""/>
    <n v="40"/>
    <n v="20"/>
    <n v="20"/>
    <n v="20"/>
    <n v="20"/>
    <s v="-"/>
    <s v="-"/>
    <s v="-"/>
    <n v="120"/>
    <x v="0"/>
    <s v="Aumento de reclamações no atendimento de Goiatins e GAs relevantes na região"/>
  </r>
  <r>
    <n v="5854566043"/>
    <s v="58"/>
    <s v="SILVANOPOLIS"/>
    <s v="PORTO NACIONAL"/>
    <s v="CENTRO"/>
    <s v="ETO-RD-PO 00213/2026"/>
    <x v="1"/>
    <x v="1"/>
    <x v="1"/>
    <x v="1"/>
    <n v="1"/>
    <s v="22/07/2026 PARECER COEP: EQUIPAMENTO ENTREGUE AOS COCM´SPRAZO DE 7 DIAS CONTANDO O SLA.PARECER COEP: EQUIPAMENTO ENTREGUE AOS COCM´S FAVOR SUSBSTTUIR , E AGUARDO O PRAZO DE PREVISÃO DE SUBSTIUIÇÃO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
    <n v="40"/>
    <n v="20"/>
    <n v="20"/>
    <n v="10"/>
    <n v="20"/>
    <s v="-"/>
    <s v="-"/>
    <s v="-"/>
    <n v="110"/>
    <x v="0"/>
    <s v="Aumento de reclamações no atendimento de Silvanópolis por Porto Nacional no período seco (Outra fonte com defeito também)"/>
  </r>
  <r>
    <n v="5800859011"/>
    <s v="58"/>
    <s v="TUPIRAMA"/>
    <s v="GUARAI"/>
    <s v="NORTE"/>
    <s v="ETO-RD-GR 00735/2026"/>
    <x v="2"/>
    <x v="2"/>
    <x v="1"/>
    <x v="2"/>
    <n v="1"/>
    <s v="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PEÇA ENVIADA: CONTROLEPARECER DMSL: *FEEDBACK EQUIP. ESPECIAIS**Nº DO EQUIPAMENTO:* 5800859011*TIPO EQUIPAMENTO:* RT ITB *TIPO DE COMUNICAÇÃO:* Não *DATA DA MANUTENÇÃO:* 09/06/2026*SID:* 3195/2026*DESCRIÇÃO:* _ Foi identificado relé da fase C com defeito conforme orientação da supervisão e necessário realiza retrofit para instalação de controle rua.*FICOU EM OPERAÇÃO* Não*PENDÊNCIA:* Realizado Retrofit *DADOS DIVERGENTES DA PROGRAMAÇÃO:* Não*BATERIA SUBSTITUÍDA?:* Não*TIPO DE BATERIA:**EQUIPE:* Edeglan e Brunno.Observação: trocar por um controle RUA.------------------------------------------------------------------------------------------Enviar equipe do DMSL, para  fazer correção no RT 5800859011, o mesmo está com o displey da fase C apagado , dificutando  realizar  manobras no mesmo, emvirtude  disso o mesmo ficou BAY PASSADO EM CAMPO"/>
    <n v="40"/>
    <n v="20"/>
    <n v="20"/>
    <n v="10"/>
    <n v="20"/>
    <s v="-"/>
    <s v="-"/>
    <s v="-"/>
    <n v="110"/>
    <x v="0"/>
    <s v="Atendimento de parte da RDU Guaraí por fonte alternativa"/>
  </r>
  <r>
    <n v="5836764032"/>
    <s v="58"/>
    <s v="ARAGUACU"/>
    <s v="ALVORADA"/>
    <s v="SUL"/>
    <s v="CONCLUÍDA"/>
    <x v="0"/>
    <x v="0"/>
    <x v="0"/>
    <x v="0"/>
    <m/>
    <s v=""/>
    <n v="40"/>
    <n v="20"/>
    <n v="20"/>
    <n v="10"/>
    <n v="20"/>
    <s v="-"/>
    <s v="-"/>
    <s v="-"/>
    <n v="110"/>
    <x v="0"/>
    <s v="Aumento de reclamações no atendimento de Araguaçu no período seco"/>
  </r>
  <r>
    <n v="7923673004"/>
    <s v="79"/>
    <s v="ARAGUAINA"/>
    <s v="ARAGUAINA"/>
    <s v="NORTE"/>
    <s v="ETO-COEP 00124/2026"/>
    <x v="3"/>
    <x v="3"/>
    <x v="2"/>
    <x v="3"/>
    <n v="1"/>
    <s v="PARECER COEP: Verificar Disponibilidade de equipamento no Scada e enviar modelo e tensão para a compra.RELIGADOR COM RELÉ DANIFICADO, REALIZAR SUBSTITUIÇÃO"/>
    <n v="15"/>
    <n v="20"/>
    <n v="15"/>
    <n v="15"/>
    <n v="15"/>
    <n v="10"/>
    <n v="0"/>
    <n v="15"/>
    <n v="105"/>
    <x v="0"/>
    <s v="Transferência de cargas na RDU de Araguaína (2797 UCs)"/>
  </r>
  <r>
    <n v="7931608059"/>
    <s v="79"/>
    <s v="TAQUARALTO"/>
    <s v="TAQUARALTO"/>
    <s v="CENTRO"/>
    <s v="ETO-COEP 00040/2026"/>
    <x v="3"/>
    <x v="0"/>
    <x v="2"/>
    <x v="4"/>
    <n v="1"/>
    <s v="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
    <n v="15"/>
    <n v="20"/>
    <n v="15"/>
    <n v="15"/>
    <n v="15"/>
    <n v="10"/>
    <n v="0"/>
    <n v="15"/>
    <n v="105"/>
    <x v="0"/>
    <s v="Transferência dos bairros Morada do Sol, Vale do Sol, Morada do Sol II, Nova Esperança, Sõa João, Araras I e II e Jardim Laila em Taquaralto (6033 UCs)"/>
  </r>
  <r>
    <n v="7931610122"/>
    <s v="79"/>
    <s v="PALMAS"/>
    <s v="PALMAS"/>
    <s v="CENTRO"/>
    <s v="ETO-TELE 01025/2026"/>
    <x v="4"/>
    <x v="0"/>
    <x v="1"/>
    <x v="5"/>
    <n v="1"/>
    <s v="PARECER DA PROTEÇÃO:FAVOR COMISSIONAR RELIGADOR. AJUSTES PERMANECEM OS MESMOS E DISPONÍVEIS NO APP DA PROTEÇÃO.Estagiário Rafael P Marques.******************30/06 PARECER COEP: EQUIPAMENTO ENTREGUE, SEGUE SS PARA O COCM´S , PARA REALIZAR O ATENDIMENTO,FAVOR ADICIONAR O PARECER PARA MANDAR PARA PROTEÇÃOBom dia,Segue SS para verificação RL sem comunicação com painel apagado equipe DEOP fez primeiro ataque sem sucesso RL 7931610122 RDU de Palmas.Feedback Equipamentos Especiais DMSL: *RLG 7931610122 RDU Palmas*Noja rc10 Data: 14/10/2025SID: 5412Dados de comunicação divergentes da programação: Não. Serviço Executado: Houve um curto no equipamento danificando a parte ativa, e antena! Será necessário fazer a substituição somente da parte ativa (tanque) e da antena.Equipamento ficou em operação?: Não Pendência: Sim, substituir a parte ativa.Bateria(s) substituída(s)?: NãoData Fabricação/Instalação da(s) bateria(s): 2024Equipe: Benvindo, Juliano e Sérgio.***** Parecer do COCM CENTRO*****Equipamento Substituido em campo pela Ordem de ServiÇO DLP-MPPA01 243/2026, ONDE OS RELATORIO ESTÃO ANEXADO.--------------------------------------------------------Parecer DMSL:Equipamento substituído porém não informado se antena também foi substituída. Levar antena para caso da mesmo não ter sido substituída."/>
    <n v="15"/>
    <n v="20"/>
    <n v="15"/>
    <n v="15"/>
    <n v="15"/>
    <n v="10"/>
    <n v="0"/>
    <n v="15"/>
    <n v="105"/>
    <x v="0"/>
    <s v="Transferência entre 284R SE Palmas IV e 2294R SE Palmas II"/>
  </r>
  <r>
    <n v="7900648055"/>
    <s v="79"/>
    <s v="ARAGUACEMA"/>
    <s v="DIVINOPOLIS"/>
    <s v="CENTRO"/>
    <s v="CONCLUÍDA"/>
    <x v="0"/>
    <x v="0"/>
    <x v="0"/>
    <x v="0"/>
    <m/>
    <s v=""/>
    <n v="15"/>
    <n v="20"/>
    <n v="15"/>
    <n v="15"/>
    <n v="15"/>
    <n v="10"/>
    <n v="0"/>
    <n v="15"/>
    <n v="105"/>
    <x v="0"/>
    <s v="Transferência da RDU de Araguacema (1506 UCs)"/>
  </r>
  <r>
    <n v="7947203070"/>
    <s v="79"/>
    <s v="RIO SONO"/>
    <s v="TAQUARALTO"/>
    <s v="CENTRO"/>
    <s v="ETO-COEP 00131/2026"/>
    <x v="3"/>
    <x v="0"/>
    <x v="2"/>
    <x v="6"/>
    <n v="1"/>
    <s v="13/07 PARECER COEP: SELECIONADO PARA COMPRA CONTROLE 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
    <n v="10"/>
    <n v="20"/>
    <n v="15"/>
    <n v="15"/>
    <n v="15"/>
    <n v="10"/>
    <n v="0"/>
    <n v="15"/>
    <n v="100"/>
    <x v="0"/>
    <s v="Transferência da RDU de Lizarda (1650 UCs) para fonte alternativa"/>
  </r>
  <r>
    <n v="5856070091"/>
    <s v="58"/>
    <s v="ALMAS"/>
    <s v="DIANOPOLIS"/>
    <s v="SUL"/>
    <s v="ETO-RD-DP 00479/2026"/>
    <x v="2"/>
    <x v="4"/>
    <x v="1"/>
    <x v="7"/>
    <n v="3"/>
    <s v="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
    <n v="40"/>
    <n v="20"/>
    <n v="20"/>
    <n v="20"/>
    <n v="0"/>
    <s v="-"/>
    <s v="-"/>
    <s v="-"/>
    <n v="100"/>
    <x v="0"/>
    <s v="Atendimento da região da Engegold, Nativa, cidade Natividade e Chapada da Natividade"/>
  </r>
  <r>
    <n v="7903569004"/>
    <s v="79"/>
    <s v="ARAGUAINA"/>
    <s v="ARAGUAINA"/>
    <s v="NORTE"/>
    <s v="CONCLUÍDA"/>
    <x v="0"/>
    <x v="0"/>
    <x v="2"/>
    <x v="0"/>
    <m/>
    <s v=""/>
    <n v="15"/>
    <n v="20"/>
    <n v="5"/>
    <n v="15"/>
    <n v="15"/>
    <n v="10"/>
    <n v="0"/>
    <n v="15"/>
    <n v="95"/>
    <x v="0"/>
    <s v="Transferência dos bairros JD Santa Helena, Jd Filadelfiae Setor Caraja em Araguaína (2053 UCs), AL 254R de AR I e AL 214R de AR III"/>
  </r>
  <r>
    <n v="7925744087"/>
    <s v="79"/>
    <s v="GOIANORTE"/>
    <s v="GUARAI"/>
    <s v="NORTE"/>
    <s v="ETO-COEP 00059/2026"/>
    <x v="3"/>
    <x v="5"/>
    <x v="2"/>
    <x v="8"/>
    <n v="1"/>
    <s v="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
    <n v="15"/>
    <n v="20"/>
    <n v="5"/>
    <n v="15"/>
    <n v="15"/>
    <n v="10"/>
    <n v="0"/>
    <n v="15"/>
    <n v="95"/>
    <x v="0"/>
    <s v="Transferência de Goianorte, fonte principal operando"/>
  </r>
  <r>
    <n v="7900117013"/>
    <s v="79"/>
    <s v="PARAISO DO TOCANTINS"/>
    <s v="PARAISO DO TOCANTINS"/>
    <s v="CENTRO"/>
    <s v="ETO-PROT 00154/2026"/>
    <x v="5"/>
    <x v="0"/>
    <x v="1"/>
    <x v="6"/>
    <n v="1"/>
    <s v="15/07 PARECER COCM: EQUIPAMENTO FOI SUBSTITUÍDO OBRA 0212600422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
    <n v="15"/>
    <n v="20"/>
    <n v="15"/>
    <n v="15"/>
    <n v="15"/>
    <n v="0"/>
    <n v="0"/>
    <n v="15"/>
    <n v="95"/>
    <x v="0"/>
    <s v="Transferência do 214R de Paraíso I, Centro Comercial de Paraíso"/>
  </r>
  <r>
    <n v="7929376022"/>
    <s v="79"/>
    <s v="BABACULANDIA"/>
    <s v="ARAGUAINA"/>
    <s v="NORTE"/>
    <s v="ETO-COEP 00120/2026"/>
    <x v="6"/>
    <x v="6"/>
    <x v="1"/>
    <x v="3"/>
    <n v="1"/>
    <s v="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
    <n v="15"/>
    <n v="20"/>
    <n v="5"/>
    <n v="15"/>
    <n v="15"/>
    <n v="10"/>
    <n v="0"/>
    <n v="15"/>
    <n v="95"/>
    <x v="0"/>
    <s v="Transferência de Babaçulândia, fonte principal operando"/>
  </r>
  <r>
    <n v="7908705049"/>
    <s v="79"/>
    <s v="AURORA DO TOCANTINS"/>
    <s v="DIANOPOLIS"/>
    <s v="SUL"/>
    <s v="ETO-RD-DP 00409/2026"/>
    <x v="2"/>
    <x v="4"/>
    <x v="1"/>
    <x v="3"/>
    <n v="1"/>
    <s v="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
    <n v="15"/>
    <n v="20"/>
    <n v="5"/>
    <n v="15"/>
    <n v="15"/>
    <n v="0"/>
    <n v="10"/>
    <n v="15"/>
    <n v="95"/>
    <x v="0"/>
    <s v="Proteção da baixa do TF de força da SE Aurora"/>
  </r>
  <r>
    <n v="7933726256"/>
    <s v="79"/>
    <s v="MATEIROS"/>
    <s v="PONTE ALTA TOCANTINS"/>
    <s v="CENTRO"/>
    <s v="ETO-PROT 00145/2026"/>
    <x v="5"/>
    <x v="7"/>
    <x v="1"/>
    <x v="9"/>
    <n v="1"/>
    <s v="07/07 Equipamento foi substituido na OS: ETO-RD-PO 1859/2026 OBRA 0312600351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
    <n v="15"/>
    <n v="10"/>
    <n v="15"/>
    <n v="15"/>
    <n v="15"/>
    <n v="10"/>
    <n v="0"/>
    <n v="15"/>
    <n v="95"/>
    <x v="0"/>
    <s v="Transferência da cidade de Mateiros (733 UCs) para o gerador"/>
  </r>
  <r>
    <n v="7933766059"/>
    <s v="79"/>
    <s v="TAQUARALTO"/>
    <s v="TAQUARALTO"/>
    <s v="CENTRO"/>
    <s v="ETO-TELE 01024/2026"/>
    <x v="4"/>
    <x v="0"/>
    <x v="1"/>
    <x v="9"/>
    <n v="1"/>
    <s v="PARECER DA PROTEÇÃO:RECOMISSIONAR RELIGADOR, AJUSTES DE PROTEÇÃO PERMANECEM OS MESMOS.Estagiário Rafael P Marques****************************PARECER COEP: EQUIPAMENTO ENTREGUE, SEGUE SS PARA O COCM´S , PARA REALIZAR O ATENDIMENTO,FAVOR ADICIONAR O PARECER PARA MANDAR PARA PROTEÇÃOSegue SS para verficar religador de poste 7933766059.Religador esta com defeito na parte ativa no tanque Porte gentilezaenviar equipe verificar.Endereço: TaquariPARECER DMSL: RLG 7933766059 RELÉ NOJA RC 10Mestre 2 Rep. taquaruçu GESID: 5457/2025Data: 15/10/2025Serviço Executado: Houve um curto na parte ativa do equipamento danificando a mesma, será necessário fazer a substituição somente do tanque, parte ativa.*Equipamento ficou em operação?:*Nao Pendência: Sim, substituir parte ativa.Equipe: Benvindo, Juliano e Sérgio.****** Parecer do COCM Centro***Equipámento Substituido em Campo pela Ordem de ServIÇO DLP-MPPA01 244/2026, ONDE OS RELATORIO ESTÃO ANEXADO.."/>
    <n v="15"/>
    <n v="20"/>
    <n v="5"/>
    <n v="15"/>
    <n v="15"/>
    <n v="0"/>
    <n v="10"/>
    <n v="15"/>
    <n v="95"/>
    <x v="0"/>
    <s v="Seccionamento de trecho do Setor Taquari"/>
  </r>
  <r>
    <n v="7900594026"/>
    <s v="79"/>
    <s v="PONTE ALTA TOCANTINS"/>
    <s v="PONTE ALTA TOCANTINS"/>
    <s v="CENTRO"/>
    <s v="ETO-SE-PA 00107/2026"/>
    <x v="4"/>
    <x v="0"/>
    <x v="1"/>
    <x v="3"/>
    <n v="1"/>
    <s v="PARECER DA PROTEÇÃO:16/07/2026 AJUSTES DISPONIBILIZADOS NO APP DA PROTEÇÃO15/07/2026 EQUIPAMENTO SUBSTITUIDO NA OS ETO-RD-PO 1860 OBRA 031260035414/07/2026 PARECER COCM/ COEP: DE ACORDO COM O EDSON CURCINO FOI FEITA S SUBSTITUIÇÃO DO EQUIPAMENTO , SEGUE PARA PROTEÇÃO ELABORAR AJUSTE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
    <n v="15"/>
    <n v="20"/>
    <n v="15"/>
    <n v="15"/>
    <n v="15"/>
    <n v="0"/>
    <n v="0"/>
    <n v="15"/>
    <n v="95"/>
    <x v="0"/>
    <s v="Religador responsável pela proteção da barra da SE Ponte Alta (2381 UCs)"/>
  </r>
  <r>
    <n v="7921040031"/>
    <s v="79"/>
    <s v="RIO DOS BOIS"/>
    <s v="MIRACEMA DO TOCANTINS"/>
    <s v="CENTRO"/>
    <s v="CONCLUÍDA"/>
    <x v="0"/>
    <x v="0"/>
    <x v="0"/>
    <x v="0"/>
    <m/>
    <s v=""/>
    <n v="15"/>
    <n v="20"/>
    <n v="5"/>
    <n v="15"/>
    <n v="15"/>
    <n v="10"/>
    <n v="0"/>
    <n v="15"/>
    <n v="95"/>
    <x v="0"/>
    <s v="Fonte principal de Rio dos Bois, RL de transferência operando"/>
  </r>
  <r>
    <n v="7957620015"/>
    <s v="79"/>
    <s v="PEDRO AFONSO"/>
    <s v="GUARAI"/>
    <s v="NORTE"/>
    <s v="CONCLUÍDA"/>
    <x v="0"/>
    <x v="0"/>
    <x v="0"/>
    <x v="0"/>
    <m/>
    <s v=""/>
    <n v="15"/>
    <n v="20"/>
    <n v="15"/>
    <n v="15"/>
    <n v="15"/>
    <n v="0"/>
    <n v="0"/>
    <n v="15"/>
    <n v="95"/>
    <x v="0"/>
    <s v="Atendimento da RDU de Bom Jesus e parcial da RDU de Pedro Afonso "/>
  </r>
  <r>
    <n v="7927413001"/>
    <s v="79"/>
    <s v="PORTO NACIONAL"/>
    <s v="PORTO NACIONAL"/>
    <s v="CENTRO"/>
    <s v="ETO-COEP 00141/2026"/>
    <x v="3"/>
    <x v="0"/>
    <x v="2"/>
    <x v="3"/>
    <n v="1"/>
    <s v="22/07/2026 EQUIPAMENTO SLEECIONADO PARA COMPRA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
    <n v="15"/>
    <n v="5"/>
    <n v="15"/>
    <n v="15"/>
    <n v="15"/>
    <n v="10"/>
    <n v="0"/>
    <n v="15"/>
    <n v="90"/>
    <x v="0"/>
    <s v="Transferência do Distrito Ind de Porto Nacional e GAs"/>
  </r>
  <r>
    <n v="7908686014"/>
    <s v="79"/>
    <s v="PIUM"/>
    <s v="PARAISO DO TOCANTINS"/>
    <s v="CENTRO"/>
    <s v="ETO-RD-PS 00302/2026"/>
    <x v="1"/>
    <x v="1"/>
    <x v="1"/>
    <x v="10"/>
    <n v="1"/>
    <s v="10/07 PARECER COEP: EQUIPAMENTO ENTREGUE AOS COCM´S FAVOR INFORMAR PRAZO DE SUBSTUIÇÃO PARA O DMSL E REPASSAR DEPOIS PARA PROTEÇÃO REALIZAR OS AJUSTES E DESCREVER NA SS O SERVIÇO REALIZADO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
    <n v="15"/>
    <n v="20"/>
    <n v="0"/>
    <n v="15"/>
    <n v="15"/>
    <n v="10"/>
    <n v="0"/>
    <n v="15"/>
    <n v="90"/>
    <x v="0"/>
    <s v="Fonte principal de Pium, RL de transferência operando"/>
  </r>
  <r>
    <n v="5800440256"/>
    <s v="58"/>
    <s v="MATEIROS"/>
    <s v="PONTE ALTA TOCANTINS"/>
    <s v="CENTRO"/>
    <s v="CONCLUÍDA"/>
    <x v="0"/>
    <x v="0"/>
    <x v="0"/>
    <x v="0"/>
    <m/>
    <s v=""/>
    <n v="20"/>
    <n v="20"/>
    <n v="20"/>
    <n v="10"/>
    <n v="20"/>
    <s v="-"/>
    <s v="-"/>
    <s v="-"/>
    <n v="90"/>
    <x v="0"/>
    <s v="Aumento de reclamações no atendimento de São Felix e Mateiros no período seco"/>
  </r>
  <r>
    <n v="7943790134"/>
    <s v="79"/>
    <s v="ESPERANTINA"/>
    <s v="AUGUSTINOPOLIS"/>
    <s v="NORTE"/>
    <s v="ETO-TELE 00896/2026"/>
    <x v="4"/>
    <x v="0"/>
    <x v="1"/>
    <x v="10"/>
    <n v="1"/>
    <s v="PARECER DCMD:Serviço realizado , substituição da parte ativa  do RELIGADOR 7943790134 - Favor realizar comissionamento"/>
    <n v="15"/>
    <n v="10"/>
    <n v="5"/>
    <n v="15"/>
    <n v="15"/>
    <n v="10"/>
    <n v="0"/>
    <n v="15"/>
    <n v="85"/>
    <x v="0"/>
    <s v="Transferência de Esperantina, fonte principal operando"/>
  </r>
  <r>
    <n v="7900453110"/>
    <s v="79"/>
    <s v="SANTA RITA DO TOCANTINS"/>
    <s v="PORTO NACIONAL"/>
    <s v="CENTRO"/>
    <s v="ETO-COEP 00087/2026"/>
    <x v="3"/>
    <x v="8"/>
    <x v="2"/>
    <x v="10"/>
    <n v="1"/>
    <s v="10/07/2026 EQUIPAMENTO SELECIONADO PARA COMPRA PARTE ATIVA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
    <n v="15"/>
    <n v="10"/>
    <n v="5"/>
    <n v="15"/>
    <n v="15"/>
    <n v="10"/>
    <n v="0"/>
    <n v="15"/>
    <n v="85"/>
    <x v="0"/>
    <s v="Transferência de Santa Rita, fonte principal operando"/>
  </r>
  <r>
    <n v="7925871077"/>
    <s v="79"/>
    <s v="GOIATINS"/>
    <s v="ARAGUAINA"/>
    <s v="NORTE"/>
    <s v="ETO-COEP 00048/2026"/>
    <x v="3"/>
    <x v="8"/>
    <x v="2"/>
    <x v="10"/>
    <n v="1"/>
    <s v="30/06 PARECER COEP: AGUARDANDO RETORNO DO DMSL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
    <n v="15"/>
    <n v="10"/>
    <n v="15"/>
    <n v="15"/>
    <n v="15"/>
    <n v="10"/>
    <n v="0"/>
    <n v="0"/>
    <n v="80"/>
    <x v="0"/>
    <s v="Transferência de Goiatins e GAs (2492 UCs)"/>
  </r>
  <r>
    <n v="5803327001"/>
    <s v="58"/>
    <s v="PORTO NACIONAL"/>
    <s v="PORTO NACIONAL"/>
    <s v="CENTRO"/>
    <s v="ETO-COEP 00149/2026"/>
    <x v="6"/>
    <x v="6"/>
    <x v="2"/>
    <x v="11"/>
    <n v="1"/>
    <s v="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
    <n v="40"/>
    <n v="0"/>
    <n v="0"/>
    <n v="20"/>
    <n v="20"/>
    <s v="-"/>
    <s v="-"/>
    <s v="-"/>
    <n v="80"/>
    <x v="1"/>
    <s v="Em caso de perca da fonte principal é necessário esse RT para alimentação da Frísia"/>
  </r>
  <r>
    <n v="7900230155"/>
    <s v="79"/>
    <s v="PALMEIRANTE"/>
    <s v="COLINAS DO TOCANTINS"/>
    <s v="NORTE"/>
    <s v="ETO-PROT 00143/2026"/>
    <x v="5"/>
    <x v="0"/>
    <x v="1"/>
    <x v="12"/>
    <n v="1"/>
    <s v="07/07/2026 PARECER COEP: MATERIAL ENVIADO , CONFORME ALINHANDO COM O WANDER REALIZAR SUBSTIUIÇÂO DO EQUIPAMENTO, FAVOR ESCREVER PARECER COCM ANTES DE PASSAR PARA PROTEÇÂO, DO QUE FOI REALIZADO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Senhores Favor verificar RL 7900230155  o mesmo sinalizou aberto  no SCADA porem a cidade de Palmeirante estava normal , feito um reset no rl e o mesmo subiu fechado.08/07/2026 PARECER DCMD: EQUIPE ETO-LVGR01  DE GUARAI ESTEVE NO RL 7900230155 DIA 25-06-2026 E FEZ TODAS A PENDENCIAS DO RL, OBS: EQUIPE SO NAO CONECTOU O CABO DO TRAFO NO RL. RL ESTA PRONTO PARA O COMISSIONAMENTO"/>
    <n v="15"/>
    <n v="20"/>
    <n v="5"/>
    <n v="15"/>
    <n v="0"/>
    <n v="10"/>
    <n v="0"/>
    <n v="15"/>
    <n v="80"/>
    <x v="0"/>
    <s v="Fonte principal de Palmeirante, RL de transferência operando"/>
  </r>
  <r>
    <n v="7900543083"/>
    <s v="79"/>
    <s v="APARECIDA DO RIO NEGRO"/>
    <s v="TAQUARALTO"/>
    <s v="CENTRO"/>
    <s v="CONCLUÍDA"/>
    <x v="0"/>
    <x v="0"/>
    <x v="0"/>
    <x v="0"/>
    <m/>
    <s v=""/>
    <n v="15"/>
    <n v="20"/>
    <n v="5"/>
    <n v="15"/>
    <n v="0"/>
    <n v="0"/>
    <n v="10"/>
    <n v="15"/>
    <n v="80"/>
    <x v="0"/>
    <s v="Atendimento da RDU de Aparecida do Rio Negro"/>
  </r>
  <r>
    <n v="7900930040"/>
    <s v="79"/>
    <s v="ARAGOMINAS"/>
    <s v="ARAGUAINA"/>
    <s v="NORTE"/>
    <s v="CONCLUÍDA"/>
    <x v="0"/>
    <x v="0"/>
    <x v="0"/>
    <x v="0"/>
    <m/>
    <s v=""/>
    <n v="15"/>
    <n v="20"/>
    <n v="5"/>
    <n v="15"/>
    <n v="0"/>
    <n v="0"/>
    <n v="10"/>
    <n v="15"/>
    <n v="80"/>
    <x v="0"/>
    <s v="Proteção da baixa do TF de força da SE Aragominas"/>
  </r>
  <r>
    <n v="7931383086"/>
    <s v="79"/>
    <s v="MARIANOPOLIS"/>
    <s v="DIVINOPOLIS"/>
    <s v="CENTRO"/>
    <s v="CONCLUÍDA"/>
    <x v="0"/>
    <x v="0"/>
    <x v="0"/>
    <x v="0"/>
    <m/>
    <s v=""/>
    <n v="15"/>
    <n v="20"/>
    <n v="5"/>
    <n v="15"/>
    <n v="0"/>
    <n v="10"/>
    <n v="0"/>
    <n v="15"/>
    <n v="80"/>
    <x v="0"/>
    <s v="Fonte principal de Marianópolis, RL transferência operando"/>
  </r>
  <r>
    <n v="7908302256"/>
    <s v="79"/>
    <s v="MATEIROS"/>
    <s v="PONTE ALTA TOCANTINS"/>
    <s v="CENTRO"/>
    <s v="ETO-TELE 00997/2026"/>
    <x v="7"/>
    <x v="0"/>
    <x v="2"/>
    <x v="0"/>
    <m/>
    <s v="RL teve nota baixada (ETO-TELE 970/2026) pore´m eqp continua fora de operação, solicito programação para equipe verificar em campo"/>
    <n v="5"/>
    <n v="10"/>
    <n v="5"/>
    <n v="15"/>
    <n v="15"/>
    <n v="10"/>
    <n v="0"/>
    <n v="15"/>
    <n v="75"/>
    <x v="1"/>
    <s v="Isolação de trecho e transferência das cidades de São Felix e Mateiros para gerador, além de atendimento de clientes rurais"/>
  </r>
  <r>
    <n v="5800371025"/>
    <s v="58"/>
    <s v="ARAPOEMA"/>
    <s v="COLINAS DO TOCANTINS"/>
    <s v="NORTE"/>
    <s v="ETO-RD-GR 00766/2026"/>
    <x v="2"/>
    <x v="9"/>
    <x v="1"/>
    <x v="6"/>
    <n v="1"/>
    <s v="16/07/2026 PARECER COEP: ALINHADO COM O KELLITON REALIZAR SUBSTITUIÇÃO DO CONTROLE DE TUPIRAMA, ALINHADO COM O JEAN QUE OS CABOS COMPATIBILIZADORES VÃO CHEGAR 16/08 , ATÉ ESSA DATA MANTER ESSA SS E CONTROLE RUA, DEPOIS REPASSAR PARA O DMSL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
    <n v="0"/>
    <n v="20"/>
    <n v="20"/>
    <n v="10"/>
    <n v="20"/>
    <s v="-"/>
    <s v="-"/>
    <s v="-"/>
    <n v="70"/>
    <x v="1"/>
    <s v="Aumento de reclamações no atendimento de Arapoema no período seco"/>
  </r>
  <r>
    <n v="7926089013"/>
    <s v="79"/>
    <s v="PARAISO DO TOCANTINS"/>
    <s v="PARAISO DO TOCANTINS"/>
    <s v="CENTRO"/>
    <s v="ETO-COEP 00078/2026"/>
    <x v="3"/>
    <x v="8"/>
    <x v="2"/>
    <x v="10"/>
    <n v="1"/>
    <s v="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
    <n v="15"/>
    <n v="10"/>
    <n v="5"/>
    <n v="15"/>
    <n v="15"/>
    <n v="10"/>
    <n v="0"/>
    <n v="0"/>
    <n v="70"/>
    <x v="1"/>
    <s v="Transferência da RDU de Chapada de Areia (937 UCs) para fonte alternativa"/>
  </r>
  <r>
    <n v="7925087021"/>
    <s v="79"/>
    <s v="PARANA"/>
    <s v="PEIXE"/>
    <s v="SUL"/>
    <s v="ETO-PROT 00152/2026"/>
    <x v="5"/>
    <x v="0"/>
    <x v="1"/>
    <x v="10"/>
    <n v="1"/>
    <s v="10/07 PARECER COEP: EQUIPAMENTO ENTREGUE AOS COCM´S FAVOR INFORMAR PRAZO DE SUBSTUIÇÃO PARA O DMSL E REPASSAR DEPOIS PARA PROTEÇÃO REALIZAR OS AJUSTES E DESCREVER NA SS O SERVIÇO REALIZADOPARECER COEP: EM ROTA DE ENTREGA, VERIFICAR PREVISÃO DE CHEGADARealizar a substituição do tanque do equipamento."/>
    <n v="15"/>
    <n v="10"/>
    <n v="5"/>
    <n v="0"/>
    <n v="15"/>
    <n v="10"/>
    <n v="0"/>
    <n v="15"/>
    <n v="70"/>
    <x v="1"/>
    <s v="Primeiro RL do 414R de Paranã, RL a jusante na LD também está bay-passado (630 UCs)"/>
  </r>
  <r>
    <n v="5801866013"/>
    <s v="58"/>
    <s v="PARAISO DO TOCANTINS"/>
    <s v="PARAISO DO TOCANTINS"/>
    <s v="CENTRO"/>
    <s v="ETO-PROT 00151/2026"/>
    <x v="5"/>
    <x v="0"/>
    <x v="1"/>
    <x v="1"/>
    <n v="1"/>
    <s v="15/07 PARECER COCM, FOI ATENDIDA PELA OS ETO-RD-PS 1616/2026 OBRA-0212600539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
    <n v="0"/>
    <n v="20"/>
    <n v="20"/>
    <n v="20"/>
    <n v="10"/>
    <s v="-"/>
    <s v="-"/>
    <s v="-"/>
    <n v="70"/>
    <x v="1"/>
    <s v="Atendimento da RDU Luzimangues Industrial por fonte alternativa"/>
  </r>
  <r>
    <n v="5865120195"/>
    <s v="58"/>
    <s v="CENTENARIO"/>
    <s v="GUARAI"/>
    <s v="NORTE"/>
    <s v="ETO-PROT 00144/2026"/>
    <x v="5"/>
    <x v="0"/>
    <x v="2"/>
    <x v="13"/>
    <n v="1"/>
    <s v="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FAVOR COMISSIONAR REGULADOR 5865120195 – LD Santa Maria Ramal Centenário e Recursolândia – 34,5kV. AJUSTE REALIZADO, DISPONÍVEL NO APP DA PROTEÇÃO.*********************** INSTALADO NA OBRA 0702400720 GENTILEZA, REALIZAR O COMISSIONAMENTO.LAUDO EM ANEXO.COORD EO: 889017, 901685708-07-2026 PARECER: FOI FEITO A MELHORIA NO REGULADOR CONFORME FOTOS EM ANEXO."/>
    <n v="20"/>
    <n v="20"/>
    <n v="20"/>
    <n v="10"/>
    <n v="0"/>
    <s v="-"/>
    <s v="-"/>
    <s v="-"/>
    <n v="70"/>
    <x v="1"/>
    <s v="Atendimento das RDUs de Centenário, Recursolândia e clientes rurais"/>
  </r>
  <r>
    <n v="5853360007"/>
    <s v="58"/>
    <s v="MIRACEMA DO TOCANTINS"/>
    <s v="MIRACEMA DO TOCANTINS"/>
    <s v="CENTRO"/>
    <s v="ETO-RD-PS 00323/2025"/>
    <x v="8"/>
    <x v="10"/>
    <x v="2"/>
    <x v="13"/>
    <n v="1"/>
    <s v="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
    <n v="0"/>
    <n v="20"/>
    <n v="20"/>
    <n v="10"/>
    <n v="20"/>
    <s v="-"/>
    <s v="-"/>
    <s v="-"/>
    <n v="70"/>
    <x v="1"/>
    <s v="Aumento de reclamações no atendimento de Miracema no período seco"/>
  </r>
  <r>
    <n v="5800366016"/>
    <s v="58"/>
    <s v="WANDERLANDIA"/>
    <s v="TOCANTINOPOLIS"/>
    <s v="NORTE"/>
    <s v="CONCLUÍDA"/>
    <x v="0"/>
    <x v="0"/>
    <x v="0"/>
    <x v="0"/>
    <m/>
    <s v=""/>
    <n v="0"/>
    <n v="20"/>
    <n v="20"/>
    <n v="20"/>
    <n v="10"/>
    <s v="-"/>
    <s v="-"/>
    <s v="-"/>
    <n v="70"/>
    <x v="1"/>
    <s v="Aumento de reclamações no atendimento de Wanderlândia no período seco"/>
  </r>
  <r>
    <n v="7955523028"/>
    <s v="79"/>
    <s v="NATIVIDADE"/>
    <s v="DIANOPOLIS"/>
    <s v="SUL"/>
    <s v="CONCLUÍDA"/>
    <x v="0"/>
    <x v="0"/>
    <x v="0"/>
    <x v="0"/>
    <m/>
    <s v=""/>
    <n v="15"/>
    <n v="10"/>
    <n v="5"/>
    <n v="15"/>
    <n v="15"/>
    <n v="10"/>
    <n v="0"/>
    <n v="0"/>
    <n v="70"/>
    <x v="1"/>
    <s v="Equipamento para apoio na transferência de cargas na região de Natividade"/>
  </r>
  <r>
    <n v="7900573047"/>
    <s v="79"/>
    <s v="FIGUEIROPOLIS"/>
    <s v="ALVORADA"/>
    <s v="SUL"/>
    <s v="ETO-PROT 00153/2026"/>
    <x v="5"/>
    <x v="0"/>
    <x v="1"/>
    <x v="3"/>
    <n v="1"/>
    <s v="10/07 PARECER COEP: EQUIPAMENTO ENTREGUE AOS COCM´S FAVOR INFORMAR PRAZO DE SUBSTUIÇÃO PARA O DMSL E REPASSAR DEPOIS PARA PROTEÇÃO REALIZAR OS AJUSTES E DESCREVER NA SS O SERVIÇO REALIZADO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
    <n v="5"/>
    <n v="5"/>
    <n v="15"/>
    <n v="0"/>
    <n v="15"/>
    <n v="10"/>
    <n v="0"/>
    <n v="15"/>
    <n v="65"/>
    <x v="1"/>
    <s v="Transferência da Bunge, Saneatins e secadora"/>
  </r>
  <r>
    <n v="7953610256"/>
    <s v="79"/>
    <s v="MATEIROS"/>
    <s v="PONTE ALTA TOCANTINS"/>
    <s v="CENTRO"/>
    <s v="ETO-RD-PO 00208/2026"/>
    <x v="9"/>
    <x v="1"/>
    <x v="2"/>
    <x v="8"/>
    <n v="1"/>
    <s v="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
    <n v="5"/>
    <n v="5"/>
    <n v="15"/>
    <n v="15"/>
    <n v="0"/>
    <n v="0"/>
    <n v="10"/>
    <n v="15"/>
    <n v="65"/>
    <x v="1"/>
    <s v="Atenidmento da COELBA (Alto potencial de compensação)"/>
  </r>
  <r>
    <n v="5800438116"/>
    <s v="58"/>
    <s v="CHAPADA DA NATIVIDADE"/>
    <s v="DIANOPOLIS"/>
    <s v="SUL"/>
    <s v="ETO-RD-DP 00404/2026"/>
    <x v="2"/>
    <x v="4"/>
    <x v="1"/>
    <x v="1"/>
    <n v="2"/>
    <s v="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30/06PARECER COEP: AGUARDANDO COCM'S CRIAREM OBRA PARA ENTREGA DO MATERIALSegue nota para normalizar falha em regulador N:5800438116 - Chapada da natividade .equipamento está com fase B e C travada .OBS: a fase B esta sinalizando falha , equipamento não insere TAP negativo na fase B e C , o mesmo ficou no TAP zerado e bloqueado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Foi constatado que a placa F do controle está com defeito."/>
    <n v="0"/>
    <n v="20"/>
    <n v="20"/>
    <n v="20"/>
    <n v="0"/>
    <s v="-"/>
    <s v="-"/>
    <s v="-"/>
    <n v="60"/>
    <x v="2"/>
    <s v="Atendimento da região da Engegold, Nativa, cidade Natividade e Chapada da Natividade (Fonte alternativa)"/>
  </r>
  <r>
    <n v="5800090147"/>
    <s v="58"/>
    <s v="TAIPAS DO TOCANTINS"/>
    <s v="DIANOPOLIS"/>
    <s v="SUL"/>
    <s v="CONCLUÍDA"/>
    <x v="0"/>
    <x v="0"/>
    <x v="0"/>
    <x v="0"/>
    <m/>
    <s v=""/>
    <n v="0"/>
    <n v="20"/>
    <n v="20"/>
    <n v="10"/>
    <n v="10"/>
    <s v="-"/>
    <s v="-"/>
    <s v="-"/>
    <n v="60"/>
    <x v="2"/>
    <s v="Atendimento de Taipas"/>
  </r>
  <r>
    <n v="5840227063"/>
    <s v="58"/>
    <s v="BANDEIRANTES DO TOCANTINS"/>
    <s v="COLINAS DO TOCANTINS"/>
    <s v="NORTE"/>
    <s v="ETO-COEP 00151/2026"/>
    <x v="3"/>
    <x v="0"/>
    <x v="2"/>
    <x v="1"/>
    <n v="1"/>
    <s v="PARECER DMSL 13/07/2026: Realizados ensaios de isolação nas três células, e foi identificado curto na fase A, sendo necessário a sua substituição. Os cabos das buchas ficaram desconectados para melhor identificação no momento da sua substituiçãSEGUE PARA O DMSL AVALIAR ANTES DE SEGUIRMOS COM O SERVIÇOSEGUE PARA REALIZAR TROCA---------------------------------------------------------Boa noite,Segue SS para tratativas regulador de tensão 5840227063 fase C em curto"/>
    <n v="0"/>
    <n v="20"/>
    <n v="20"/>
    <n v="10"/>
    <n v="10"/>
    <s v="-"/>
    <s v="-"/>
    <s v="-"/>
    <n v="60"/>
    <x v="2"/>
    <s v="Atendimento da RDU Bandeirantes e clientes rurais"/>
  </r>
  <r>
    <n v="5846328094"/>
    <s v="58"/>
    <s v="PEIXE"/>
    <s v="PEIXE"/>
    <s v="SUL"/>
    <s v="ETO-TELE 00986/2026"/>
    <x v="4"/>
    <x v="0"/>
    <x v="1"/>
    <x v="13"/>
    <n v="1"/>
    <s v="COCM SUL - 07/07/2026 - FOI REALIZADO MELHORIA DE ATERRAMENTO E FEITO A MANUTENÇÕES E TODAS AS CHAVES E SUBSTITUIDO OS CONECTORES.PARECER COEP: MELHORIA DE ATERRAMENTO É COCM'S, FAVOR ENCAMINHAR DIRETAMENTE PARA ELES, COCM'S REALIZAR MELHORIA DE ATERRAMENTO POR FAVORPor genteliiza verificar RT 5846328094 situação de equipamento, se encontra by passado em campoPARECER DMSL:Favor, realizar melhoria de aterramento que se encontra alta e substituir todos os conectores das buchas por conectores estrangulador."/>
    <n v="0"/>
    <n v="20"/>
    <n v="20"/>
    <n v="10"/>
    <n v="10"/>
    <s v="-"/>
    <s v="-"/>
    <s v="-"/>
    <n v="60"/>
    <x v="2"/>
    <s v="Atendimento da RDU Sucupira e clientes rurais"/>
  </r>
  <r>
    <n v="5851753086"/>
    <s v="58"/>
    <s v="MARIANOPOLIS"/>
    <s v="DIVINOPOLIS"/>
    <s v="CENTRO"/>
    <s v="ETO-TELE 00881/2026"/>
    <x v="4"/>
    <x v="0"/>
    <x v="1"/>
    <x v="13"/>
    <n v="1"/>
    <s v="PARECER DMSL: FAVOR SOLUCIONAR PENDENCIAS RT: 5851753086Relé R.U.A  Data: _19/05/2026Sid: 2740/2026Possui rádio?: SimPossui antena?: SimPossui módulo nobreak?: SimServiço Executado: * Feito testes no equipamento,o mesmo está normal.* Será necessário fazer melhorias na malha de terra e colocar em operação.Equipamento ficou em operação? Não Pendência: Sim. É necessário fazer melhorias na malha de aterramento.Bateria(s) substituída(s)? _nao Data Fabricação/Instalação da(s) bateria(s): 12/2025Equipe: Jean e BenvindoPARECER DCMD: FEITO MELHORIA NA MALHA DO ATERRAMENTO, FAVOR ENVIAR EQUIPE PARA COLOCA-LO EM OPERAÇÃORT 5851753086MESMO ESTA BY-PASSADO EM CAMPO EQUIPE SINERGIA 086OP01 ESTEVE NO LOCAL APARENTIMENTE SEM DEFEITO APARENTE MESMO FOI BY PASSADO POR TER TIRADO LINHA.DESDE ENTAO MESMO NAO VOLTOU PARA OPERAÇÃO .FAVOR VERIFICAR PARA TESTES POSSIVEIS .PARA QUE O MESMO VOLTA COM DISPONIBILIDADE PARA OPERAÇÃO ."/>
    <n v="0"/>
    <n v="20"/>
    <n v="20"/>
    <n v="10"/>
    <n v="10"/>
    <s v="-"/>
    <s v="-"/>
    <s v="-"/>
    <n v="60"/>
    <x v="2"/>
    <s v="Atendimento da RDU Marianópolis e clientes rurais"/>
  </r>
  <r>
    <n v="7903112004"/>
    <s v="79"/>
    <s v="ARAGUAINA"/>
    <s v="ARAGUAINA"/>
    <s v="NORTE"/>
    <s v="ETO-COEP 00184/2025"/>
    <x v="6"/>
    <x v="11"/>
    <x v="1"/>
    <x v="10"/>
    <n v="1"/>
    <s v="20/07 PARECER COEP: EQUIPAMENTO SELECIONADO PARA COMPRAApós testes no RLG 7903112004 foi constatado defeito no mesmo e como se trata de um modelo COOPER FORM6 que está obsoleto e não possuímos peças sobressalentes, faz-se necessária substituição completa por modelo NOJA RC10."/>
    <n v="15"/>
    <n v="10"/>
    <n v="5"/>
    <n v="15"/>
    <n v="0"/>
    <n v="10"/>
    <n v="0"/>
    <n v="0"/>
    <n v="55"/>
    <x v="1"/>
    <s v="Transferência de Babaçulândia, 4 RLs sendo 2 operando"/>
  </r>
  <r>
    <n v="7920024127"/>
    <s v="79"/>
    <s v="PALMEIRAS DO TOCANTINS"/>
    <s v="TOCANTINOPOLIS"/>
    <s v="NORTE"/>
    <s v="ETO-COEP 00120/2025"/>
    <x v="3"/>
    <x v="0"/>
    <x v="2"/>
    <x v="14"/>
    <n v="1"/>
    <s v="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
    <n v="15"/>
    <n v="10"/>
    <n v="5"/>
    <n v="15"/>
    <n v="0"/>
    <n v="10"/>
    <n v="0"/>
    <n v="0"/>
    <n v="55"/>
    <x v="1"/>
    <s v="Transferência de Palmeiras, 3 fontes operando"/>
  </r>
  <r>
    <n v="7927646026"/>
    <s v="79"/>
    <s v="PONTE ALTA TOCANTINS"/>
    <s v="PONTE ALTA TOCANTINS"/>
    <s v="CENTRO"/>
    <s v="ETO-COEP 00029/2026"/>
    <x v="3"/>
    <x v="0"/>
    <x v="2"/>
    <x v="10"/>
    <n v="1"/>
    <s v="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
    <n v="15"/>
    <n v="10"/>
    <n v="5"/>
    <n v="0"/>
    <n v="15"/>
    <n v="0"/>
    <n v="10"/>
    <n v="0"/>
    <n v="55"/>
    <x v="1"/>
    <s v="Opção de isolação de São Félix e Mateiros para alimentação por gerador"/>
  </r>
  <r>
    <n v="7927169001"/>
    <s v="79"/>
    <s v="PORTO NACIONAL"/>
    <s v="PORTO NACIONAL"/>
    <s v="CENTRO"/>
    <s v="ETO-PROT 00156/2026"/>
    <x v="5"/>
    <x v="0"/>
    <x v="1"/>
    <x v="10"/>
    <m/>
    <s v="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 Parecer COCM******Subsituido Tranque do RL pela Ordem de Serviço DLP-MPPA01 247/2026 RELATORIO EM ANEXO DA O.S EXECUTORA"/>
    <n v="5"/>
    <n v="5"/>
    <n v="15"/>
    <n v="0"/>
    <n v="15"/>
    <n v="0"/>
    <n v="0"/>
    <n v="15"/>
    <n v="55"/>
    <x v="1"/>
    <s v="Transferência dos Grupos A -  VLI e Frisia"/>
  </r>
  <r>
    <n v="7900018004"/>
    <s v="79"/>
    <s v="ARAGUAINA"/>
    <s v="ARAGUAINA"/>
    <s v="NORTE"/>
    <s v="CONCLUÍDA"/>
    <x v="0"/>
    <x v="0"/>
    <x v="0"/>
    <x v="0"/>
    <m/>
    <s v=""/>
    <n v="15"/>
    <n v="10"/>
    <n v="5"/>
    <n v="15"/>
    <n v="0"/>
    <n v="10"/>
    <n v="0"/>
    <n v="0"/>
    <n v="55"/>
    <x v="1"/>
    <s v="Transferência de Aragominas, 3 fontes operando"/>
  </r>
  <r>
    <n v="7934698002"/>
    <s v="79"/>
    <s v="TOCANTINOPOLIS"/>
    <s v="TOCANTINOPOLIS"/>
    <s v="NORTE"/>
    <s v="CONCLUÍDA"/>
    <x v="0"/>
    <x v="0"/>
    <x v="0"/>
    <x v="0"/>
    <m/>
    <s v=""/>
    <n v="5"/>
    <n v="5"/>
    <n v="5"/>
    <n v="0"/>
    <n v="15"/>
    <n v="0"/>
    <n v="10"/>
    <n v="15"/>
    <n v="55"/>
    <x v="1"/>
    <s v="Atendimento do PA Mumbuca (106 UCs), no desarme a jusante penaliza parte da RDU de Tocantinópolis (1384 UCs)"/>
  </r>
  <r>
    <n v="7930428001"/>
    <s v="79"/>
    <s v="PORTO NACIONAL"/>
    <s v="PORTO NACIONAL"/>
    <s v="CENTRO"/>
    <s v="ETO-COEP 00150/2026"/>
    <x v="3"/>
    <x v="0"/>
    <x v="2"/>
    <x v="10"/>
    <n v="1"/>
    <s v="PARECER DMSL DATA 16/07/2026: será necessário fazer a substituição da parte ativa do equipamento.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
    <n v="5"/>
    <n v="5"/>
    <n v="15"/>
    <n v="0"/>
    <n v="15"/>
    <n v="10"/>
    <n v="0"/>
    <n v="0"/>
    <n v="50"/>
    <x v="1"/>
    <s v="Transferência dos Grupos A -  Ramal do Rossato (TF 225kVA e TF 750kVA)"/>
  </r>
  <r>
    <n v="7936038076"/>
    <s v="79"/>
    <s v="DUERE"/>
    <s v="GURUPI"/>
    <s v="SUL"/>
    <s v="CONCLUÍDA"/>
    <x v="10"/>
    <x v="0"/>
    <x v="2"/>
    <x v="0"/>
    <m/>
    <s v=""/>
    <n v="5"/>
    <n v="5"/>
    <n v="15"/>
    <n v="0"/>
    <n v="15"/>
    <n v="10"/>
    <n v="0"/>
    <n v="0"/>
    <n v="50"/>
    <x v="1"/>
    <s v="Transferência do Grupo A - Xavante (TF 1087,5 kVA) e outros GA menores"/>
  </r>
  <r>
    <n v="7955520116"/>
    <s v="79"/>
    <s v="CHAPADA DA NATIVIDADE"/>
    <s v="DIANOPOLIS"/>
    <s v="SUL"/>
    <s v="CONCLUÍDA"/>
    <x v="3"/>
    <x v="0"/>
    <x v="2"/>
    <x v="10"/>
    <n v="1"/>
    <s v=""/>
    <n v="5"/>
    <n v="5"/>
    <n v="15"/>
    <n v="0"/>
    <n v="0"/>
    <n v="10"/>
    <n v="0"/>
    <n v="15"/>
    <n v="50"/>
    <x v="1"/>
    <s v="Transferência do Grupo A - Engegold (TF 7500 kVA)"/>
  </r>
  <r>
    <n v="5800291035"/>
    <s v="58"/>
    <s v="MONTE DO CARMO"/>
    <s v="PONTE ALTA TOCANTINS"/>
    <s v="CENTRO"/>
    <s v="ETO-RD-PO 00097/2026"/>
    <x v="4"/>
    <x v="0"/>
    <x v="2"/>
    <x v="13"/>
    <n v="1"/>
    <s v="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Obs.: Fizeram melhoria na malha de terra, mas não está dentro do aceitável! As outras pendências continuam, favor corrigir. Equipamento ficou em operação?: Não  - Equipe: Benvindo e Kaique- SS ANTIGA ETO-TELE 358/2026"/>
    <n v="0"/>
    <n v="20"/>
    <n v="20"/>
    <n v="10"/>
    <n v="0"/>
    <s v="-"/>
    <s v="-"/>
    <s v="-"/>
    <n v="50"/>
    <x v="2"/>
    <s v="Aumento de reclamações no atendimento de Silvanópolis por Monte do Carmo no período seco"/>
  </r>
  <r>
    <n v="5827102054"/>
    <s v="58"/>
    <s v="PUGMIL"/>
    <s v="PARAISO DO TOCANTINS"/>
    <s v="CENTRO"/>
    <s v="ETO-RD-PS 00289/2026"/>
    <x v="11"/>
    <x v="12"/>
    <x v="2"/>
    <x v="13"/>
    <n v="1"/>
    <s v="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
    <n v="0"/>
    <n v="20"/>
    <n v="20"/>
    <n v="10"/>
    <n v="0"/>
    <s v="-"/>
    <s v="-"/>
    <s v="-"/>
    <n v="50"/>
    <x v="2"/>
    <s v="Aumento de reclamações no atendimento de Pugmil no período seco"/>
  </r>
  <r>
    <n v="5850308009"/>
    <s v="58"/>
    <s v="GUARAI"/>
    <s v="GUARAI"/>
    <s v="NORTE"/>
    <s v="CONCLUÍDA"/>
    <x v="0"/>
    <x v="0"/>
    <x v="0"/>
    <x v="0"/>
    <m/>
    <s v=""/>
    <n v="0"/>
    <n v="20"/>
    <n v="20"/>
    <n v="0"/>
    <n v="10"/>
    <s v="-"/>
    <s v="-"/>
    <s v="-"/>
    <n v="50"/>
    <x v="2"/>
    <s v="Atendimento de parte da RDU de Guaraí e ramal da PRF/Repetidora"/>
  </r>
  <r>
    <n v="7900535058"/>
    <s v="79"/>
    <s v="SANTA FE DO ARAGUAIA"/>
    <s v="ARAGUAINA"/>
    <s v="NORTE"/>
    <s v="ETO-COEP 00173/2025"/>
    <x v="3"/>
    <x v="0"/>
    <x v="2"/>
    <x v="6"/>
    <n v="1"/>
    <s v="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
    <n v="5"/>
    <n v="10"/>
    <n v="5"/>
    <n v="0"/>
    <n v="15"/>
    <n v="10"/>
    <n v="0"/>
    <n v="0"/>
    <n v="45"/>
    <x v="2"/>
    <s v="Atendimento 3 povoados, na perca 4 ficam fora (900 UCs)"/>
  </r>
  <r>
    <n v="7927713200"/>
    <s v="79"/>
    <s v="SAO SALVADOR DO TOCANTINS"/>
    <s v="PEIXE"/>
    <s v="SUL"/>
    <s v="CONCLUÍDA"/>
    <x v="3"/>
    <x v="0"/>
    <x v="2"/>
    <x v="10"/>
    <n v="1"/>
    <s v=""/>
    <n v="5"/>
    <n v="5"/>
    <n v="5"/>
    <n v="0"/>
    <n v="15"/>
    <n v="10"/>
    <n v="0"/>
    <n v="0"/>
    <n v="40"/>
    <x v="2"/>
    <s v="Transferência do Ramal do Retiro (246UCs), fonte principal by-passado"/>
  </r>
  <r>
    <n v="7937102148"/>
    <s v="79"/>
    <s v="SAO VALERIO DA NATIVIDADE"/>
    <s v="PEIXE"/>
    <s v="SUL"/>
    <s v="ETO-COEP 00129/2026"/>
    <x v="3"/>
    <x v="0"/>
    <x v="2"/>
    <x v="10"/>
    <n v="1"/>
    <s v="PARECER COEP: REAVALIAR DISPONIBILIDADE DO EQUIPAMENTO NO SCADA ASSIM COMO , FORNECER MODELO DO EQUIPAMENTO E FAIXA DE TENSÃO PARA COMPRA / AQUISIÇÃOTanque com defeito, realizar substituição do tanque."/>
    <n v="5"/>
    <n v="5"/>
    <n v="5"/>
    <n v="0"/>
    <n v="15"/>
    <n v="10"/>
    <n v="0"/>
    <n v="0"/>
    <n v="40"/>
    <x v="2"/>
    <s v="Fonte principal do Ramal Serranópolis (181 UCs), RL de transferência operando"/>
  </r>
  <r>
    <n v="7944559149"/>
    <s v="79"/>
    <s v="CASEARA"/>
    <s v="DIVINOPOLIS"/>
    <s v="CENTRO"/>
    <s v="ETO-COEP 00063/2026"/>
    <x v="3"/>
    <x v="0"/>
    <x v="2"/>
    <x v="6"/>
    <n v="1"/>
    <s v="14/07/2026 PARECER COEP: EQUIPAMENTO SELECIONADO PARA COMPRA Equipamento ficou em operação?: NãoPendência: Sim será necessário substituir a placaServiço Executado:  curto na placa foi tentando recuperar a mesma porém não teve sucesso!Bateria(s)substituída(s)? NÃOEquipe: Kaique e benvido"/>
    <n v="5"/>
    <n v="10"/>
    <n v="0"/>
    <n v="0"/>
    <n v="15"/>
    <n v="10"/>
    <n v="0"/>
    <n v="0"/>
    <n v="40"/>
    <x v="2"/>
    <s v="Atendimento de cargas rurais entre Caseara e Araguacema (221 UCs)"/>
  </r>
  <r>
    <n v="5800961074"/>
    <s v="58"/>
    <s v="DIANOPOLIS"/>
    <s v="DIANOPOLIS"/>
    <s v="SUL"/>
    <s v="ETO-COEP 00221/2025"/>
    <x v="3"/>
    <x v="0"/>
    <x v="2"/>
    <x v="15"/>
    <n v="3"/>
    <s v="PARECER COEP: EQUIPAMENTO SELECIONADO PARA COMPRASubstituir as 3 células- Melhoria na malha de aterramento - Melhoria no circuito de aterramento qua aterra as células.- Substituir conectores paralelos"/>
    <n v="20"/>
    <n v="0"/>
    <n v="0"/>
    <n v="20"/>
    <n v="0"/>
    <s v="-"/>
    <s v="-"/>
    <s v="-"/>
    <n v="40"/>
    <x v="2"/>
    <s v="Atendimento da COELBA e GA Alessandro Maurício (1600 kVA)"/>
  </r>
  <r>
    <n v="7908249152"/>
    <s v="79"/>
    <s v="SANTA ROSA DO TOCANTINS"/>
    <s v="PORTO NACIONAL"/>
    <s v="CENTRO"/>
    <s v="ETO-COEP 00038/2026"/>
    <x v="3"/>
    <x v="0"/>
    <x v="2"/>
    <x v="3"/>
    <n v="1"/>
    <s v="14/07/2026 PARECER COEP: EQUIPAMENTO SELECIONADO PARA COMPRA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
    <n v="5"/>
    <n v="5"/>
    <n v="0"/>
    <n v="0"/>
    <n v="15"/>
    <n v="10"/>
    <n v="0"/>
    <n v="0"/>
    <n v="35"/>
    <x v="2"/>
    <s v="Atendimento de zona rural em Santa Rosa (160 UCs)"/>
  </r>
  <r>
    <n v="7922995039"/>
    <s v="79"/>
    <s v="ARAGUATINS"/>
    <s v="AUGUSTINOPOLIS"/>
    <s v="NORTE"/>
    <s v="ETO-PROT 00135/2026"/>
    <x v="0"/>
    <x v="0"/>
    <x v="3"/>
    <x v="0"/>
    <m/>
    <s v="PARECER COEP: Equipamento em operação, instalado com sucesso, segue para Proteção para ajustesPARECER DMSL: Após testes, equipe DMSL constatou que o RLG 7922995039 encontra-se com parte ativa e controle danificados. Favor, realizar substituição completa do equipamento.Troca do sistema de comunicação do equipamento"/>
    <n v="5"/>
    <n v="5"/>
    <n v="0"/>
    <n v="0"/>
    <n v="15"/>
    <n v="10"/>
    <n v="0"/>
    <n v="0"/>
    <n v="35"/>
    <x v="2"/>
    <s v="Atendimento do PA Esperança Viva (396 UCs)"/>
  </r>
  <r>
    <n v="7925733015"/>
    <s v="79"/>
    <s v="PEDRO AFONSO"/>
    <s v="GUARAI"/>
    <s v="NORTE"/>
    <s v="ETO-COEP 00058/2026"/>
    <x v="3"/>
    <x v="0"/>
    <x v="2"/>
    <x v="10"/>
    <n v="1"/>
    <s v="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
    <n v="5"/>
    <n v="5"/>
    <n v="0"/>
    <n v="0"/>
    <n v="15"/>
    <n v="10"/>
    <n v="0"/>
    <n v="0"/>
    <n v="35"/>
    <x v="2"/>
    <s v="Transferência do Ramal Agrovila (73 UCs)"/>
  </r>
  <r>
    <n v="7927396052"/>
    <s v="79"/>
    <s v="FORMOSO DO ARAGUAIA"/>
    <s v="FORMOSO DO ARAGUAIA"/>
    <s v="SUL"/>
    <s v="ETO-COEP 00045/2026"/>
    <x v="3"/>
    <x v="0"/>
    <x v="2"/>
    <x v="10"/>
    <n v="1"/>
    <s v="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
    <n v="5"/>
    <n v="5"/>
    <n v="0"/>
    <n v="0"/>
    <n v="15"/>
    <n v="10"/>
    <n v="0"/>
    <n v="0"/>
    <n v="35"/>
    <x v="2"/>
    <s v="Equipamento localizado Fonte principal de atendimento a SE Cobrape"/>
  </r>
  <r>
    <n v="7933585074"/>
    <s v="79"/>
    <s v="DIANOPOLIS"/>
    <s v="DIANOPOLIS"/>
    <s v="SUL"/>
    <s v="ETO-COEP 00024/2026"/>
    <x v="3"/>
    <x v="3"/>
    <x v="2"/>
    <x v="10"/>
    <n v="1"/>
    <s v="30/06 PARECER COEP: EQUIPAMENTO SELECIONADO PARA COMPRAREALIZAR SUBSTITUIÇÃO DO TANQUE, O MESMO ESTÁ COM DEFEITO."/>
    <n v="5"/>
    <n v="5"/>
    <n v="15"/>
    <n v="0"/>
    <n v="0"/>
    <n v="0"/>
    <n v="10"/>
    <n v="0"/>
    <n v="35"/>
    <x v="2"/>
    <s v="Atendimento da COELBA"/>
  </r>
  <r>
    <n v="7942572059"/>
    <s v="79"/>
    <s v="TAQUARALTO"/>
    <s v="TAQUARALTO"/>
    <s v="CENTRO"/>
    <s v="ETO-PROT 00155/2026"/>
    <x v="4"/>
    <x v="0"/>
    <x v="3"/>
    <x v="0"/>
    <m/>
    <s v="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 Parcecer do COCM CENTRO-****FEITO A MALHAR DE ATERRAMENTO ATENDIDA PELA ORDEM DE SERVIÇO DLP-MLPA02 91/2026 COM RELATORIO EM ANEXO A O.S"/>
    <n v="5"/>
    <n v="5"/>
    <n v="15"/>
    <n v="0"/>
    <n v="0"/>
    <n v="0"/>
    <n v="10"/>
    <n v="0"/>
    <n v="35"/>
    <x v="2"/>
    <s v="Atendimento do Ramal do Marasca e GAs (108 UCs)"/>
  </r>
  <r>
    <n v="7944319149"/>
    <s v="79"/>
    <s v="CASEARA"/>
    <s v="DIVINOPOLIS"/>
    <s v="CENTRO"/>
    <s v="CONCLUÍDA"/>
    <x v="0"/>
    <x v="0"/>
    <x v="0"/>
    <x v="0"/>
    <m/>
    <s v=""/>
    <n v="5"/>
    <n v="5"/>
    <n v="15"/>
    <n v="0"/>
    <n v="0"/>
    <n v="0"/>
    <n v="10"/>
    <n v="0"/>
    <n v="35"/>
    <x v="2"/>
    <s v="Atendimento do Grupo A - Matosul (TF 1500 kVA)"/>
  </r>
  <r>
    <n v="7955986084"/>
    <s v="79"/>
    <s v="DIVINOPOLIS"/>
    <s v="DIVINOPOLIS"/>
    <s v="CENTRO"/>
    <s v="ETO-COEP 00133/2026"/>
    <x v="3"/>
    <x v="0"/>
    <x v="2"/>
    <x v="0"/>
    <m/>
    <s v="14/07/2026 PARECER COEP : SUBSTIUIR CONTROLE COMPLETOPARECER DMSL: Equipamento com a placa de alimentação ca em curto, será necessário substituir a placa do equipamento. (Antiga nota era pra ter sido repassada porém foi baixada indevidamente pela equipe)"/>
    <n v="5"/>
    <n v="5"/>
    <n v="0"/>
    <n v="0"/>
    <n v="15"/>
    <n v="10"/>
    <n v="0"/>
    <n v="0"/>
    <n v="35"/>
    <x v="2"/>
    <s v="Transferência de cargas do 444R da SE Paraíso I"/>
  </r>
  <r>
    <n v="7967181127"/>
    <s v="79"/>
    <s v="PALMEIRAS DO TOCANTINS"/>
    <s v="TOCANTINOPOLIS"/>
    <s v="NORTE"/>
    <s v="CONCLUÍDA"/>
    <x v="0"/>
    <x v="0"/>
    <x v="2"/>
    <x v="0"/>
    <m/>
    <s v=""/>
    <n v="5"/>
    <n v="5"/>
    <n v="0"/>
    <n v="0"/>
    <n v="15"/>
    <n v="10"/>
    <n v="0"/>
    <n v="0"/>
    <n v="35"/>
    <x v="2"/>
    <s v="Transferência de Palmeiras, 3 RLs sendo 2 operando"/>
  </r>
  <r>
    <n v="7900525015"/>
    <s v="79"/>
    <s v="PEDRO AFONSO"/>
    <s v="GUARAI"/>
    <s v="NORTE"/>
    <s v="ETO-COEP 00125/2026"/>
    <x v="3"/>
    <x v="0"/>
    <x v="2"/>
    <x v="10"/>
    <n v="1"/>
    <s v="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
    <n v="5"/>
    <n v="5"/>
    <n v="0"/>
    <n v="0"/>
    <n v="15"/>
    <n v="10"/>
    <n v="0"/>
    <n v="0"/>
    <n v="35"/>
    <x v="2"/>
    <s v="Tranferência do Ramal do Chaparral (251 UCs)"/>
  </r>
  <r>
    <n v="7928564039"/>
    <s v="79"/>
    <s v="ARAGUATINS"/>
    <s v="AUGUSTINOPOLIS"/>
    <s v="NORTE"/>
    <s v="ETO-COEP 00123/2026"/>
    <x v="3"/>
    <x v="0"/>
    <x v="2"/>
    <x v="3"/>
    <n v="1"/>
    <s v="PARECER COEP: EQUIPAMENTO SELECIONADO PARA COMPRATroca do sistema de comunicação do equipamentoDMSL 28/07/2025: Equipamento com tanque, modulo e rele com defeito, solicitar troca do equipamento ao DCMD.Fotos vão ser enviadas por e-mail"/>
    <n v="5"/>
    <n v="10"/>
    <n v="5"/>
    <n v="0"/>
    <n v="0"/>
    <n v="10"/>
    <n v="0"/>
    <n v="0"/>
    <n v="30"/>
    <x v="2"/>
    <s v="Transferência entre 424R Araguatins e 434R Augustinópolis"/>
  </r>
  <r>
    <n v="7957126085"/>
    <s v="79"/>
    <s v="MONTE SANTO DO TOCANTINS"/>
    <s v="PARAISO DO TOCANTINS"/>
    <s v="CENTRO"/>
    <s v="CONCLUÍDA"/>
    <x v="0"/>
    <x v="0"/>
    <x v="0"/>
    <x v="0"/>
    <m/>
    <s v=""/>
    <n v="5"/>
    <n v="10"/>
    <n v="5"/>
    <n v="0"/>
    <n v="0"/>
    <n v="10"/>
    <n v="0"/>
    <n v="0"/>
    <n v="30"/>
    <x v="2"/>
    <s v="444R de Paraíso I, atendimento de Monte Santo, devido defeito a RDU está manobrada para o 454R"/>
  </r>
  <r>
    <n v="5841308190"/>
    <s v="58"/>
    <s v="NOVO JARDIM"/>
    <s v="DIANOPOLIS"/>
    <s v="SUL"/>
    <s v="CONCLUÍDA"/>
    <x v="0"/>
    <x v="0"/>
    <x v="4"/>
    <x v="16"/>
    <m/>
    <s v=""/>
    <n v="0"/>
    <n v="20"/>
    <n v="0"/>
    <n v="10"/>
    <n v="0"/>
    <s v="-"/>
    <s v="-"/>
    <s v="-"/>
    <n v="30"/>
    <x v="3"/>
    <s v="Equipamento obsoleto com a entrada da SE Serras Gerais"/>
  </r>
  <r>
    <n v="5844630060"/>
    <s v="58"/>
    <s v="NOVA OLINDA"/>
    <s v="COLINAS DO TOCANTINS"/>
    <s v="NORTE"/>
    <s v="CONCLUÍDA"/>
    <x v="6"/>
    <x v="13"/>
    <x v="2"/>
    <x v="1"/>
    <n v="1"/>
    <s v=""/>
    <n v="20"/>
    <n v="0"/>
    <n v="0"/>
    <n v="10"/>
    <n v="0"/>
    <s v="-"/>
    <s v="-"/>
    <s v="-"/>
    <n v="30"/>
    <x v="3"/>
    <s v="Atendimento dos ramais PA Remansão e Água Branca"/>
  </r>
  <r>
    <n v="5855411017"/>
    <s v="58"/>
    <s v="BARROLANDIA"/>
    <s v="MIRACEMA DO TOCANTINS"/>
    <s v="CENTRO"/>
    <s v="ETO-COEP 00156/2026"/>
    <x v="3"/>
    <x v="0"/>
    <x v="2"/>
    <x v="6"/>
    <n v="1"/>
    <s v="20/07 PARECER COCM: NÃO RECEBEMOS MATERIAL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
    <n v="0"/>
    <n v="0"/>
    <n v="0"/>
    <n v="10"/>
    <n v="20"/>
    <s v="-"/>
    <s v="-"/>
    <s v="-"/>
    <n v="30"/>
    <x v="3"/>
    <s v="Atendimento do Assentamento Irmã Adelaide"/>
  </r>
  <r>
    <n v="7900505026"/>
    <s v="79"/>
    <s v="PONTE ALTA TOCANTINS"/>
    <s v="PONTE ALTA TOCANTINS"/>
    <s v="CENTRO"/>
    <s v="CONCLUÍDA"/>
    <x v="0"/>
    <x v="0"/>
    <x v="0"/>
    <x v="0"/>
    <m/>
    <s v=""/>
    <n v="5"/>
    <n v="5"/>
    <n v="5"/>
    <n v="0"/>
    <n v="0"/>
    <n v="0"/>
    <n v="10"/>
    <n v="0"/>
    <n v="25"/>
    <x v="3"/>
    <s v="Atendimento do Ramal do Gato (288 UCs) e UFV Videira, no desarme a jusante penaliza a cidade de Pindorama"/>
  </r>
  <r>
    <n v="7908196047"/>
    <s v="79"/>
    <s v="FIGUEIROPOLIS"/>
    <s v="ALVORADA"/>
    <s v="SUL"/>
    <s v="ETO-TELE 01002/2026"/>
    <x v="3"/>
    <x v="0"/>
    <x v="2"/>
    <x v="3"/>
    <n v="1"/>
    <s v="13/07/2026 PARECER COEP: EQUIPAMENTO REMANEJADO FAVOR FAZER O COMISSIONAMENTORELIGADOR N° 7908196047 REMANEJADO NA OBRA 0402401150 GENTILEZA, REALIZAR O COMISSIONAMENTO. LAUDO EM ANEXO. COORD EO: 698485, 8657287PARECER DA PROTEÇÃO:AJUSTE DISPONIBILIZADO NO APP DA PROTEÇÃO, NOTA REPASSADA PARA DMSL COMISSIONAR, POLO GURUPI, RL APENAS REMANEJADO DA REDE VELHA PARA REDE NOVA, EQUIPAMENTO COOPER, SE MANTEVE O MESMO NÚMERO DE ATIVO.ENG° IRLLEY CASTELO BRANCO.PARECER DMSL: Constatado curto-circuito no tanque do religador, impedindo as operações de abertura e fechamento do equipamento. Solicita-se a substituição completa do religador, incluindo tanque e unidade de controle."/>
    <n v="5"/>
    <n v="5"/>
    <n v="5"/>
    <n v="0"/>
    <n v="0"/>
    <n v="0"/>
    <n v="10"/>
    <n v="0"/>
    <n v="25"/>
    <x v="3"/>
    <s v="Seccionamento do Rural e energização do 224R"/>
  </r>
  <r>
    <n v="7921202014"/>
    <s v="79"/>
    <s v="PIUM"/>
    <s v="PARAISO DO TOCANTINS"/>
    <s v="CENTRO"/>
    <s v="ETO-COEP 00132/2026"/>
    <x v="3"/>
    <x v="0"/>
    <x v="2"/>
    <x v="10"/>
    <n v="1"/>
    <s v="PARECER COEP: EQUIPAMENTO SELECIONADO PARA COMPRA , DEVERIA SER SUBSTITUIDO PARTE ATIVA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
    <n v="5"/>
    <n v="5"/>
    <n v="5"/>
    <n v="0"/>
    <n v="0"/>
    <n v="10"/>
    <n v="0"/>
    <n v="0"/>
    <n v="25"/>
    <x v="3"/>
    <s v="Atendimento de Clientes rurais (483 UCs)"/>
  </r>
  <r>
    <n v="7923927122"/>
    <s v="79"/>
    <s v="PALMAS"/>
    <s v="PALMAS"/>
    <s v="CENTRO"/>
    <s v="ETO-COEP 00148/2026"/>
    <x v="3"/>
    <x v="0"/>
    <x v="2"/>
    <x v="10"/>
    <n v="1"/>
    <s v="PARECER DMSL 16/07: Nota solicitada ao DMSL com a informação de que o tanque precisa ser substituído. Estou encaminhando a nota para a área responsável.Segue nota para envia manutenção substituir tanque do RL-7923927122 em curto, Anomalia identificada desarme das LD, s Palmas / Aparecida e Palmas Taquaruçu, Acesso livre, Tensão 34,5kv, Local RL de Interligação entre 424R / 414R."/>
    <n v="15"/>
    <n v="0"/>
    <n v="0"/>
    <n v="0"/>
    <n v="0"/>
    <n v="10"/>
    <n v="0"/>
    <n v="0"/>
    <n v="25"/>
    <x v="3"/>
    <s v="Transferência entre 414R e 424R SE Palmas II"/>
  </r>
  <r>
    <n v="7927446001"/>
    <s v="79"/>
    <s v="PORTO NACIONAL"/>
    <s v="PORTO NACIONAL"/>
    <s v="CENTRO"/>
    <s v="ETO-COEP 00143/2025"/>
    <x v="3"/>
    <x v="0"/>
    <x v="2"/>
    <x v="3"/>
    <n v="1"/>
    <s v="30/06 PARECER COEP: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
    <n v="5"/>
    <n v="5"/>
    <n v="5"/>
    <n v="0"/>
    <n v="0"/>
    <n v="10"/>
    <n v="0"/>
    <n v="0"/>
    <n v="25"/>
    <x v="3"/>
    <s v="Alimentação de Monte do Carmo por Porto Nacional"/>
  </r>
  <r>
    <n v="7928241200"/>
    <s v="79"/>
    <s v="SAO SALVADOR DO TOCANTINS"/>
    <s v="PEIXE"/>
    <s v="SUL"/>
    <s v="ETO-COEP 00128/2026"/>
    <x v="3"/>
    <x v="0"/>
    <x v="2"/>
    <x v="10"/>
    <n v="1"/>
    <s v="PARECER COEP: EQUIPAMENTO SELECIONADO  PARA COMPRA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
    <n v="5"/>
    <n v="5"/>
    <n v="5"/>
    <n v="0"/>
    <n v="0"/>
    <n v="10"/>
    <n v="0"/>
    <n v="0"/>
    <n v="25"/>
    <x v="3"/>
    <s v="Fonte principal do Ramal do Retiro (246UCs), RL transferência by-passado"/>
  </r>
  <r>
    <n v="7942485096"/>
    <s v="79"/>
    <s v="PINDORAMA DO TOCANTINS"/>
    <s v="PONTE ALTA TOCANTINS"/>
    <s v="CENTRO"/>
    <s v="ETO-COEP 00158/2025"/>
    <x v="3"/>
    <x v="0"/>
    <x v="2"/>
    <x v="10"/>
    <n v="1"/>
    <s v="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
    <n v="5"/>
    <n v="5"/>
    <n v="5"/>
    <n v="0"/>
    <n v="0"/>
    <n v="10"/>
    <n v="0"/>
    <n v="0"/>
    <n v="25"/>
    <x v="3"/>
    <s v="Transferência da PCH Bagagem"/>
  </r>
  <r>
    <n v="7955430075"/>
    <s v="79"/>
    <s v="DOIS IRMAOS DO TOCANTINS"/>
    <s v="DIVINOPOLIS"/>
    <s v="CENTRO"/>
    <s v="CONCLUÍDA"/>
    <x v="0"/>
    <x v="0"/>
    <x v="0"/>
    <x v="0"/>
    <m/>
    <s v=""/>
    <n v="5"/>
    <n v="5"/>
    <n v="5"/>
    <n v="0"/>
    <n v="0"/>
    <n v="0"/>
    <n v="10"/>
    <n v="0"/>
    <n v="25"/>
    <x v="3"/>
    <s v="Atendimento do Ramal do Boleu (13 UCs), no desarme a jusante penaliza parte 303 UCs rurais"/>
  </r>
  <r>
    <n v="7955686076"/>
    <s v="79"/>
    <s v="DUERE"/>
    <s v="GURUPI"/>
    <s v="SUL"/>
    <s v="CONCLUÍDA"/>
    <x v="0"/>
    <x v="0"/>
    <x v="0"/>
    <x v="0"/>
    <m/>
    <s v=""/>
    <n v="5"/>
    <n v="5"/>
    <n v="0"/>
    <n v="0"/>
    <n v="15"/>
    <n v="0"/>
    <n v="0"/>
    <n v="0"/>
    <n v="25"/>
    <x v="3"/>
    <s v="Fonte alternativa de atendimento do Ramal Bacuri (217 UCs)"/>
  </r>
  <r>
    <n v="7955946007"/>
    <s v="79"/>
    <s v="MIRACEMA DO TOCANTINS"/>
    <s v="MIRACEMA DO TOCANTINS"/>
    <s v="CENTRO"/>
    <s v="ETO-COEP 00134/2026"/>
    <x v="3"/>
    <x v="0"/>
    <x v="2"/>
    <x v="2"/>
    <n v="1"/>
    <s v="13/07/2026 PARECER COEP: SUBSTITUIR CONTOLE OU MANDAR MANUTENCIONAR EM CASO DE PRIORIDADE ALTAPARECER DMSL: Necessário substituir a placa de alimentação ca, a mesma está em curto não conseguimos recuperar. (Antiga nota era pra ter sido repassada porém foi baixada indevidamente pela equipe)"/>
    <n v="5"/>
    <n v="5"/>
    <n v="5"/>
    <n v="0"/>
    <n v="0"/>
    <n v="0"/>
    <n v="10"/>
    <n v="0"/>
    <n v="25"/>
    <x v="3"/>
    <s v="Alimentação do serviço auxiliar da Investco e clientes rurais (260 UCs)"/>
  </r>
  <r>
    <n v="7901110084"/>
    <s v="79"/>
    <s v="DIVINOPOLIS"/>
    <s v="DIVINOPOLIS"/>
    <s v="CENTRO"/>
    <s v="ETO-COEP 00061/2026"/>
    <x v="3"/>
    <x v="0"/>
    <x v="2"/>
    <x v="10"/>
    <n v="1"/>
    <s v="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
    <n v="5"/>
    <n v="5"/>
    <n v="0"/>
    <n v="0"/>
    <n v="0"/>
    <n v="0"/>
    <n v="10"/>
    <n v="0"/>
    <n v="20"/>
    <x v="3"/>
    <s v="Localizado na fonte principal de atendimento de Divinópolis e Abreulândia"/>
  </r>
  <r>
    <n v="7908206074"/>
    <s v="79"/>
    <s v="DIANOPOLIS"/>
    <s v="DIANOPOLIS"/>
    <s v="SUL"/>
    <s v="CONCLUÍDA"/>
    <x v="0"/>
    <x v="0"/>
    <x v="0"/>
    <x v="0"/>
    <m/>
    <s v=""/>
    <n v="5"/>
    <n v="5"/>
    <n v="0"/>
    <n v="0"/>
    <n v="0"/>
    <n v="0"/>
    <n v="10"/>
    <n v="0"/>
    <n v="20"/>
    <x v="3"/>
    <s v="Atendimento do PA Novo Plano (102 UCs)"/>
  </r>
  <r>
    <n v="7908708116"/>
    <s v="79"/>
    <s v="CHAPADA DA NATIVIDADE"/>
    <s v="DIANOPOLIS"/>
    <s v="SUL"/>
    <s v="CONCLUÍDA"/>
    <x v="10"/>
    <x v="0"/>
    <x v="2"/>
    <x v="3"/>
    <m/>
    <s v=""/>
    <n v="5"/>
    <n v="5"/>
    <n v="0"/>
    <n v="0"/>
    <n v="0"/>
    <n v="0"/>
    <n v="10"/>
    <n v="0"/>
    <n v="20"/>
    <x v="3"/>
    <s v="Atendimento do PA Xobo (194 UCs)"/>
  </r>
  <r>
    <n v="7910027196"/>
    <s v="79"/>
    <s v="LAGOA DO TOCANTINS"/>
    <s v="TAQUARALTO"/>
    <s v="CENTRO"/>
    <s v="CONCLUÍDA"/>
    <x v="3"/>
    <x v="0"/>
    <x v="2"/>
    <x v="3"/>
    <n v="1"/>
    <s v=""/>
    <n v="5"/>
    <n v="5"/>
    <n v="0"/>
    <n v="0"/>
    <n v="0"/>
    <n v="0"/>
    <n v="10"/>
    <n v="0"/>
    <n v="20"/>
    <x v="3"/>
    <s v="Atendimento do Ramal do Rio Preto (197 UCs)"/>
  </r>
  <r>
    <n v="7913662076"/>
    <s v="79"/>
    <s v="DUERE"/>
    <s v="GURUPI"/>
    <s v="SUL"/>
    <s v="ETO-COEP 00114/2026"/>
    <x v="3"/>
    <x v="14"/>
    <x v="2"/>
    <x v="10"/>
    <n v="1"/>
    <s v="30/06 PARECER COEP: AGUARDANDO RETORNO DO DMSL PARA ENTENDER EXATAMENTE O QUE TENHO QUE SUBSTITUIRAberto nota para substituir tanque danificado e chave de entrada fase B danificadaPARECER DMSL: Foi confirmado pela equipe DMSL o defeito do tanque, favor seguir com a substituição e correção da chave de entrada fase B danificada."/>
    <n v="5"/>
    <n v="5"/>
    <n v="0"/>
    <n v="0"/>
    <n v="0"/>
    <n v="10"/>
    <n v="0"/>
    <n v="0"/>
    <n v="20"/>
    <x v="3"/>
    <s v="Atendimento do Ramal do Bacuri (168 UCs)"/>
  </r>
  <r>
    <n v="5862236091"/>
    <s v="58"/>
    <s v="ALMAS"/>
    <s v="DIANOPOLIS"/>
    <s v="SUL"/>
    <s v="ETO-RD-DP 00457/2026"/>
    <x v="3"/>
    <x v="0"/>
    <x v="2"/>
    <x v="1"/>
    <n v="1"/>
    <s v="20/07 PARECER COEP: EQUIPAMENTO ENTREGUE , FAVOR EDITAR A SS COM A DATA PREVISTA DE SUBSTITUIÇÃO NO PARECER DOS COCM´S Realizar substituição da FASE B.Célula da fase B estava com a tampa do contador de tape aberta, pegou chuva e molhou os contatos danificando a peça toda."/>
    <n v="0"/>
    <n v="0"/>
    <n v="0"/>
    <n v="20"/>
    <n v="0"/>
    <s v="-"/>
    <s v="-"/>
    <s v="-"/>
    <n v="20"/>
    <x v="3"/>
    <s v="Atendimento da LD Vale Rio Doce (Nova Aura Mineradora)"/>
  </r>
  <r>
    <n v="5836786094"/>
    <s v="58"/>
    <s v="PEIXE"/>
    <s v="PEIXE"/>
    <s v="SUL"/>
    <s v="ETO-COEP 00095/2026"/>
    <x v="6"/>
    <x v="15"/>
    <x v="2"/>
    <x v="1"/>
    <n v="1"/>
    <s v="24/07 PARECER COEP:EQUIPAMENTO EM LOGISTICA DE ENTREGA Favor levar outro regulador de tensão, pois o mesmo foi furtado em campo."/>
    <n v="0"/>
    <n v="0"/>
    <n v="0"/>
    <n v="10"/>
    <n v="10"/>
    <s v="-"/>
    <s v="-"/>
    <s v="-"/>
    <n v="20"/>
    <x v="3"/>
    <s v="Atendimento de clientes rurais na LD Peixe Angical - Peixe"/>
  </r>
  <r>
    <n v="7919270014"/>
    <s v="79"/>
    <s v="PIUM"/>
    <s v="PARAISO DO TOCANTINS"/>
    <s v="CENTRO"/>
    <s v="ETO-RD-PS 00327/2026"/>
    <x v="3"/>
    <x v="0"/>
    <x v="2"/>
    <x v="0"/>
    <m/>
    <s v="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13/07/2026 PARECER COEP: SUBSTITUIÇÃO REALZIADA , FAVOR COMISSIONARPARECER DMSL (22/07/26): Solicito que o laudo de substituição seja anexado, e a SS seja repassada para proteção atribuir a ordem de ajuste, antes de repassar para ETO-TELE.----------------------------------------------PARECER DA PROTEÇÃO: Prosseguir com o comissionamento. Ajustes de religador permanecem os mesmos, disponíveis no APP da Proteção.********************************RELIGADOR N°7919270014 REMANEJADO NA OBRA 0212501060 GENTILEZA, REALIZAR O COMISSIONAMENTO. LAUDO EM ANEXO. COORD EO: 617422, 8830787"/>
    <n v="5"/>
    <n v="5"/>
    <n v="0"/>
    <n v="0"/>
    <n v="0"/>
    <n v="10"/>
    <n v="0"/>
    <n v="0"/>
    <n v="20"/>
    <x v="3"/>
    <s v="Atendimento de Clientes rurais (48 UCs)"/>
  </r>
  <r>
    <n v="7926442035"/>
    <s v="79"/>
    <s v="MONTE DO CARMO"/>
    <s v="PONTE ALTA TOCANTINS"/>
    <s v="CENTRO"/>
    <s v="ETO-COEP 00051/2026"/>
    <x v="3"/>
    <x v="14"/>
    <x v="2"/>
    <x v="17"/>
    <n v="1"/>
    <s v="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
    <n v="5"/>
    <n v="5"/>
    <n v="0"/>
    <n v="0"/>
    <n v="0"/>
    <n v="0"/>
    <n v="10"/>
    <n v="0"/>
    <n v="20"/>
    <x v="3"/>
    <s v="Atenidmento do PA Principado (200 UCs)"/>
  </r>
  <r>
    <n v="7954668084"/>
    <s v="79"/>
    <s v="DIVINOPOLIS"/>
    <s v="DIVINOPOLIS"/>
    <s v="CENTRO"/>
    <s v="CONCLUÍDA"/>
    <x v="0"/>
    <x v="0"/>
    <x v="0"/>
    <x v="0"/>
    <m/>
    <s v=""/>
    <n v="5"/>
    <n v="5"/>
    <n v="0"/>
    <n v="0"/>
    <n v="0"/>
    <n v="0"/>
    <n v="10"/>
    <n v="0"/>
    <n v="20"/>
    <x v="3"/>
    <s v="Atendimento do PA Piedade (125 UCs)"/>
  </r>
  <r>
    <n v="7938137007"/>
    <s v="79"/>
    <s v="MIRACEMA DO TOCANTINS"/>
    <s v="MIRACEMA DO TOCANTINS"/>
    <s v="CENTRO"/>
    <s v="ETO-COEP 00144/2026"/>
    <x v="3"/>
    <x v="0"/>
    <x v="2"/>
    <x v="18"/>
    <n v="1"/>
    <s v="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 Material ainda não foi entregue para substituição 15/07/2026"/>
    <n v="5"/>
    <n v="5"/>
    <n v="5"/>
    <n v="0"/>
    <n v="0"/>
    <n v="0"/>
    <n v="0"/>
    <n v="0"/>
    <n v="15"/>
    <x v="3"/>
    <s v="Transferência do Irmã Adelaide (470 UCs)"/>
  </r>
  <r>
    <n v="5856156091"/>
    <s v="58"/>
    <s v="ALMAS"/>
    <s v="DIANOPOLIS"/>
    <s v="SUL"/>
    <s v="ETO-RD-DP 00403/2026"/>
    <x v="3"/>
    <x v="16"/>
    <x v="2"/>
    <x v="7"/>
    <n v="3"/>
    <s v="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
    <n v="0"/>
    <n v="0"/>
    <n v="0"/>
    <n v="0"/>
    <n v="0"/>
    <s v="-"/>
    <s v="-"/>
    <s v="-"/>
    <n v="0"/>
    <x v="3"/>
    <s v="Equipamento novo furtado antes de ser colocado em operação"/>
  </r>
  <r>
    <n v="5858783119"/>
    <s v="58"/>
    <s v="SAO BENTO DO TOCANTINS"/>
    <s v="TOCANTINOPOLIS"/>
    <s v="NORTE"/>
    <s v="ETO-TELE 01032/2026"/>
    <x v="12"/>
    <x v="0"/>
    <x v="2"/>
    <x v="0"/>
    <m/>
    <s v="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
    <n v="0"/>
    <n v="0"/>
    <n v="0"/>
    <n v="0"/>
    <n v="0"/>
    <s v="-"/>
    <s v="-"/>
    <s v="-"/>
    <n v="0"/>
    <x v="3"/>
    <s v="Equipamento não inserido no SCADA"/>
  </r>
  <r>
    <n v="7900532053"/>
    <s v="79"/>
    <s v="PIRAQUE"/>
    <s v="TOCANTINOPOLIS"/>
    <s v="NORTE"/>
    <s v="CONCLUÍDA"/>
    <x v="13"/>
    <x v="0"/>
    <x v="2"/>
    <x v="19"/>
    <m/>
    <s v=""/>
    <n v="0"/>
    <n v="0"/>
    <n v="0"/>
    <n v="0"/>
    <n v="0"/>
    <n v="0"/>
    <n v="0"/>
    <n v="0"/>
    <n v="0"/>
    <x v="3"/>
    <s v="Equipamento não identificado no SCADA e Mapa TS"/>
  </r>
  <r>
    <n v="7925713040"/>
    <s v="79"/>
    <s v="ARAGOMINAS"/>
    <s v="ARAGUAINA"/>
    <s v="NORTE"/>
    <s v="CONCLUÍDA"/>
    <x v="0"/>
    <x v="0"/>
    <x v="2"/>
    <x v="0"/>
    <m/>
    <s v=""/>
    <s v=" "/>
    <m/>
    <m/>
    <m/>
    <m/>
    <m/>
    <m/>
    <m/>
    <n v="0"/>
    <x v="4"/>
    <m/>
  </r>
  <r>
    <n v="7948412064"/>
    <s v="79"/>
    <s v="BRASILANDIA DO TOCANTINS"/>
    <s v="GUARAI"/>
    <s v="NORTE"/>
    <s v="CONCLUÍDA"/>
    <x v="0"/>
    <x v="0"/>
    <x v="2"/>
    <x v="0"/>
    <m/>
    <s v=""/>
    <s v=" "/>
    <m/>
    <m/>
    <m/>
    <m/>
    <m/>
    <m/>
    <m/>
    <n v="0"/>
    <x v="4"/>
    <m/>
  </r>
  <r>
    <n v="7955832052"/>
    <s v="79"/>
    <s v="FORMOSO DO ARAGUAIA"/>
    <s v="FORMOSO DO ARAGUAIA"/>
    <s v="SUL"/>
    <s v="ETO-TELE 00982/2026"/>
    <x v="0"/>
    <x v="0"/>
    <x v="2"/>
    <x v="0"/>
    <m/>
    <s v="SEGUE SOLICITAÇÃO DE SERVIÇO PARA REALIZAR VERIFICAÇÃO DO RL 7955832052 EQUIPAMENTO DE INTEELIGAÇÃO O MESMO ESTA SEM COMUNICAÇÃO ...FOI REALIZADO PRIMEIRO ATAQUE COM EQUIPE SINERGIA DE FORMOSO EO EQUIPAMENTO NÃO VOLTOU"/>
    <s v=" "/>
    <m/>
    <m/>
    <m/>
    <m/>
    <m/>
    <m/>
    <m/>
    <n v="0"/>
    <x v="4"/>
    <m/>
  </r>
  <r>
    <n v="7930359149"/>
    <s v="79"/>
    <s v="CASEARA"/>
    <s v="DIVINOPOLIS"/>
    <s v="CENTRO"/>
    <s v="ETO-COEP 00138/2026"/>
    <x v="0"/>
    <x v="0"/>
    <x v="2"/>
    <x v="0"/>
    <m/>
    <s v="PARECER DMSL 07/07/2026: equipamento tem que ser subistuido pois não faz comando, parte ativa com defeito FEITO O PRIMEIRO ATAQUE NO RELIGADOR 7930359149 E MESMO NÃO ACEITA COMANDO NEM LOCAL E NEM REMOTO SEGUNDO EQUIPE 149OP02 E PLACA DO RL ESTA CARBONIZADA COM SINAL DE CURTO."/>
    <s v=" "/>
    <m/>
    <m/>
    <m/>
    <m/>
    <m/>
    <m/>
    <m/>
    <n v="0"/>
    <x v="4"/>
    <m/>
  </r>
  <r>
    <n v="7902098003"/>
    <s v="79"/>
    <s v="GURUPI"/>
    <s v="GURUPI"/>
    <s v="SUL"/>
    <s v="ETO-TELE 00932/2026"/>
    <x v="0"/>
    <x v="0"/>
    <x v="2"/>
    <x v="0"/>
    <m/>
    <s v="Segue SS de religador 7902098003 sem comunicação. Foi realizado o primeiro ataque porem o mesmo não retornou a comunicação."/>
    <s v=" "/>
    <m/>
    <m/>
    <m/>
    <m/>
    <m/>
    <m/>
    <m/>
    <n v="0"/>
    <x v="4"/>
    <m/>
  </r>
  <r>
    <n v="7953211079"/>
    <s v="79"/>
    <s v="ITAPIRATINS"/>
    <s v="GUARAI"/>
    <s v="NORTE"/>
    <s v="ETO-COEP 00147/2026"/>
    <x v="0"/>
    <x v="0"/>
    <x v="2"/>
    <x v="0"/>
    <m/>
    <s v="20/07 PARECER COEP: EQUIPAMENTO SELECIONADO PARA COMPRASegue nota para substituir relé religador avariado marca noja , equipamento N: 7953211079 - Itapiratins .Obs: informação repassado pelo técnico DMSL Bruno ."/>
    <s v=" "/>
    <m/>
    <m/>
    <m/>
    <m/>
    <m/>
    <m/>
    <m/>
    <n v="0"/>
    <x v="4"/>
    <m/>
  </r>
  <r>
    <n v="7949648145"/>
    <s v="79"/>
    <s v="MAURILANDIA DO TOCANTINS"/>
    <s v="AUGUSTINOPOLIS"/>
    <s v="NORTE"/>
    <s v="ETO-TELE 00929/2026"/>
    <x v="0"/>
    <x v="0"/>
    <x v="2"/>
    <x v="0"/>
    <m/>
    <s v="FEITO PRIMEIRO ATAQUE COM A EQUIPE LOCAL E NÃO VOLTOU A COMUNICAR. PROVIDENCIAR MANUTENÇÃO PARA O MESMO."/>
    <s v=" "/>
    <m/>
    <m/>
    <m/>
    <m/>
    <m/>
    <m/>
    <m/>
    <n v="0"/>
    <x v="4"/>
    <m/>
  </r>
  <r>
    <n v="7957021094"/>
    <s v="79"/>
    <s v="PEIXE"/>
    <s v="PEIXE"/>
    <s v="SUL"/>
    <s v="CONCLUÍDA"/>
    <x v="0"/>
    <x v="0"/>
    <x v="2"/>
    <x v="0"/>
    <m/>
    <s v=""/>
    <s v=" "/>
    <m/>
    <m/>
    <m/>
    <m/>
    <m/>
    <m/>
    <m/>
    <n v="0"/>
    <x v="4"/>
    <m/>
  </r>
  <r>
    <n v="7908300096"/>
    <s v="79"/>
    <s v="PINDORAMA DO TOCANTINS"/>
    <s v="PONTE ALTA TOCANTINS"/>
    <s v="CENTRO"/>
    <s v="ETO-TELE 00938/2026"/>
    <x v="0"/>
    <x v="0"/>
    <x v="2"/>
    <x v="0"/>
    <m/>
    <s v="Segue nota para verificar falha intermitência na comunicação RL 7908300096 RDU- Pindorama ."/>
    <s v=" "/>
    <m/>
    <m/>
    <m/>
    <m/>
    <m/>
    <m/>
    <m/>
    <n v="0"/>
    <x v="4"/>
    <m/>
  </r>
  <r>
    <n v="7953570026"/>
    <s v="79"/>
    <s v="PONTE ALTA TOCANTINS"/>
    <s v="PONTE ALTA TOCANTINS"/>
    <s v="CENTRO"/>
    <s v="ETO-TELE 00892/2026"/>
    <x v="0"/>
    <x v="0"/>
    <x v="2"/>
    <x v="0"/>
    <m/>
    <s v="Segue RL 7953570026 O MESMO FOI FEITO PRIMEIRO ATAQUE, painel do religador acendeu porem não voltou a comunicação junto ao SCADA, equipe fez teste em comando local, tudo normal porem sem retorno de comunicação, rl na SE DE PONTE ALTA"/>
    <s v=" "/>
    <m/>
    <m/>
    <m/>
    <m/>
    <m/>
    <m/>
    <m/>
    <n v="0"/>
    <x v="4"/>
    <m/>
  </r>
  <r>
    <n v="7911120026"/>
    <s v="79"/>
    <s v="PONTE ALTA TOCANTINS"/>
    <s v="PONTE ALTA TOCANTINS"/>
    <s v="CENTRO"/>
    <s v="DG-RD-PO 00444/2026"/>
    <x v="11"/>
    <x v="0"/>
    <x v="2"/>
    <x v="0"/>
    <m/>
    <s v="Segue nota para recuperar malha de aterramento no RL 7911120026 RDU- Ponte Alta .OBS: Provavelmente foi furtado cabos de aterramento   ."/>
    <s v=" "/>
    <m/>
    <m/>
    <m/>
    <m/>
    <m/>
    <m/>
    <m/>
    <n v="0"/>
    <x v="4"/>
    <m/>
  </r>
  <r>
    <n v="5820790038"/>
    <s v="58"/>
    <s v="TAGUATINGA"/>
    <s v="DIANOPOLIS"/>
    <s v="SUL"/>
    <s v="CONCLUÍDA"/>
    <x v="0"/>
    <x v="0"/>
    <x v="2"/>
    <x v="0"/>
    <m/>
    <s v=""/>
    <s v=" "/>
    <m/>
    <m/>
    <m/>
    <m/>
    <m/>
    <m/>
    <m/>
    <n v="0"/>
    <x v="4"/>
    <m/>
  </r>
  <r>
    <n v="7934697002"/>
    <s v="79"/>
    <s v="TOCANTINOPOLIS"/>
    <s v="TOCANTINOPOLIS"/>
    <s v="NORTE"/>
    <s v="CONCLUÍDA"/>
    <x v="0"/>
    <x v="0"/>
    <x v="2"/>
    <x v="0"/>
    <m/>
    <s v=""/>
    <s v=" "/>
    <m/>
    <m/>
    <m/>
    <m/>
    <m/>
    <m/>
    <m/>
    <n v="0"/>
    <x v="4"/>
    <m/>
  </r>
  <r>
    <n v="7908716091"/>
    <s v="79"/>
    <m/>
    <m/>
    <m/>
    <s v="ETO-TELE 01019/2026"/>
    <x v="0"/>
    <x v="0"/>
    <x v="2"/>
    <x v="0"/>
    <m/>
    <s v="Segue nota para verificar falha de comunicação no religador 7908716091 - Rural -  Almas  .Equipamento perdeu a comunicação quando faltou CA , porém mesmo ao retorna o CA não retornou à comunicação !"/>
    <m/>
    <m/>
    <m/>
    <m/>
    <m/>
    <m/>
    <m/>
    <m/>
    <n v="0"/>
    <x v="4"/>
    <m/>
  </r>
  <r>
    <n v="5848305116"/>
    <s v="58"/>
    <m/>
    <m/>
    <m/>
    <s v="ETO-TELE 01005/2026"/>
    <x v="0"/>
    <x v="0"/>
    <x v="2"/>
    <x v="0"/>
    <m/>
    <s v="Segue nota para verificar falha e constantes travamento no regulador de tensão 5848305116 - chapada da Natividade .Foi identificado que regulador está com divergência em TAP&quot;S analógico e digital .Foi executado comandos no relé para comutar TAP na fase AB foi executado no relé , porém não alterou analógico e nem fez barulho algum , a princípio a fase C está normal ."/>
    <m/>
    <m/>
    <m/>
    <m/>
    <m/>
    <m/>
    <m/>
    <m/>
    <n v="0"/>
    <x v="4"/>
    <m/>
  </r>
  <r>
    <n v="7961368005"/>
    <s v="79"/>
    <m/>
    <m/>
    <m/>
    <s v="ETO-TELE 01007/2026"/>
    <x v="0"/>
    <x v="0"/>
    <x v="2"/>
    <x v="0"/>
    <m/>
    <s v="Favor verifcar Religador 7961368005 , equipamento sem comunicação , feito primeiro ataque com equipe operacional , porem não ouve retorno ."/>
    <m/>
    <m/>
    <m/>
    <m/>
    <m/>
    <m/>
    <m/>
    <m/>
    <n v="0"/>
    <x v="4"/>
    <m/>
  </r>
  <r>
    <n v="7929663074"/>
    <s v="79"/>
    <m/>
    <m/>
    <m/>
    <s v="ETO-TELE 01026/2026"/>
    <x v="0"/>
    <x v="0"/>
    <x v="2"/>
    <x v="0"/>
    <m/>
    <s v="Segue nota para verificar falha de comunicação no religador 7929663074  rural - Dianópolis  .Equipamento perde a comunicação quando falta CA !"/>
    <m/>
    <m/>
    <m/>
    <m/>
    <m/>
    <m/>
    <m/>
    <m/>
    <n v="0"/>
    <x v="4"/>
    <m/>
  </r>
  <r>
    <n v="7900722193"/>
    <s v="79"/>
    <m/>
    <m/>
    <m/>
    <s v="ETO-TELE 01029/2026"/>
    <x v="0"/>
    <x v="0"/>
    <x v="2"/>
    <x v="0"/>
    <m/>
    <s v="Religador sem comunicação, apos primeiro ataque não retornou a comunicação."/>
    <m/>
    <m/>
    <m/>
    <m/>
    <m/>
    <m/>
    <m/>
    <m/>
    <n v="0"/>
    <x v="4"/>
    <m/>
  </r>
  <r>
    <n v="7955792076"/>
    <s v="79"/>
    <m/>
    <m/>
    <m/>
    <s v="ETO-TELE 00999/2026"/>
    <x v="0"/>
    <x v="0"/>
    <x v="2"/>
    <x v="0"/>
    <m/>
    <s v="RELIGADOR DE POSTE 7955792076 SEM COMUNIÇÃO COM COI ,FEITO PRIMEIRO ATAQUE COM EQUIPE OPERACIONAL O MESMO NÃO RETORNOU A COMUNICAÇÃO ENVIAR EQUIPE ESPECIAL VERIFICAR EM CAMPO"/>
    <m/>
    <m/>
    <m/>
    <m/>
    <m/>
    <m/>
    <m/>
    <m/>
    <n v="0"/>
    <x v="4"/>
    <m/>
  </r>
  <r>
    <n v="5839141113"/>
    <s v="58"/>
    <m/>
    <m/>
    <m/>
    <s v="ETO-TELE 00985/2026"/>
    <x v="0"/>
    <x v="0"/>
    <x v="2"/>
    <x v="0"/>
    <m/>
    <s v="Segue nota para averiguar ajuste regulador de tensão N: 5839141113 - RDU - Couto Magalhães , e verificar falha de comunicação   .Equipe operacional verificou que vários transformadores urbanos estão com nível de tensão baixa .Foi feito primeiro ataque regulador está comutando normalmente as 3 fases , porém não está no nível adequado !Em campo regulador estava no Tap R1 - 02 , R2 + 01 , R3 +03Medições feitas :Transformador 5700010113     - NA: 205 NB: 206 NC: 210Transformador 5700011113      - NA: 204 NB: 206 NC: 209Transformador 5700333113       -NA: 205 NB: 207 NC: 208OBS: solicitar equipe para realizar medição aterramento ,  e verificar ajuste junto ao time proteção .  verificar falha de comunicação no equipamento ."/>
    <m/>
    <m/>
    <m/>
    <m/>
    <m/>
    <m/>
    <m/>
    <m/>
    <n v="0"/>
    <x v="4"/>
    <m/>
  </r>
  <r>
    <n v="7908683122"/>
    <s v="79"/>
    <m/>
    <m/>
    <m/>
    <s v="ETO-TELE 00998/2026"/>
    <x v="0"/>
    <x v="0"/>
    <x v="2"/>
    <x v="0"/>
    <m/>
    <s v="rl 7908683122  retirado de operaçao devido falha na base do rele  equipamento."/>
    <m/>
    <m/>
    <m/>
    <m/>
    <m/>
    <m/>
    <m/>
    <m/>
    <n v="0"/>
    <x v="4"/>
    <m/>
  </r>
  <r>
    <n v="7923110021"/>
    <s v="79"/>
    <m/>
    <m/>
    <m/>
    <s v="ETO-TELE 01027/2026"/>
    <x v="0"/>
    <x v="0"/>
    <x v="2"/>
    <x v="0"/>
    <m/>
    <s v="Segue SS para verificar falha de comunicação no religador 7923110021. Equipe foi no local realizar primeiro ataque e informou que o radio de comunicação encontra-se com defeito"/>
    <m/>
    <m/>
    <m/>
    <m/>
    <m/>
    <m/>
    <m/>
    <m/>
    <n v="0"/>
    <x v="4"/>
    <m/>
  </r>
  <r>
    <n v="7900001096"/>
    <s v="79"/>
    <m/>
    <m/>
    <m/>
    <s v="ETO-TELE 01018/2026"/>
    <x v="0"/>
    <x v="0"/>
    <x v="2"/>
    <x v="0"/>
    <m/>
    <s v="Segue nota para falha de comunicação no religador 7900001096 - Rural - Pindorama .Equipamento perdeu a comunicação quando faltou CA , porém mesmo ao retorna o CA não retornou a comunicação !Feito primeiro ataque sem sucesso !"/>
    <m/>
    <m/>
    <m/>
    <m/>
    <m/>
    <m/>
    <m/>
    <m/>
    <n v="0"/>
    <x v="4"/>
    <m/>
  </r>
  <r>
    <n v="7900451096"/>
    <s v="79"/>
    <m/>
    <m/>
    <m/>
    <s v="ETO-TELE 01020/2026"/>
    <x v="0"/>
    <x v="0"/>
    <x v="2"/>
    <x v="0"/>
    <m/>
    <s v="Segue nota para verificar falha de comunicação no religador 7900451096 - Rural -  Pindorama  .Equipamento perde a comunicação quando falta CA !"/>
    <m/>
    <m/>
    <m/>
    <m/>
    <m/>
    <m/>
    <m/>
    <m/>
    <n v="0"/>
    <x v="4"/>
    <m/>
  </r>
  <r>
    <n v="7900259096"/>
    <s v="79"/>
    <m/>
    <m/>
    <m/>
    <s v="ETO-TELE 01021/2026"/>
    <x v="0"/>
    <x v="0"/>
    <x v="2"/>
    <x v="0"/>
    <m/>
    <s v="Boa noite .Segue nota para verificar falha de comunicação no religador 7900259096 -  Pindorama .Equipamento perde a comunicação quando falta CA !"/>
    <m/>
    <m/>
    <m/>
    <m/>
    <m/>
    <m/>
    <m/>
    <m/>
    <n v="0"/>
    <x v="4"/>
    <m/>
  </r>
  <r>
    <n v="7962734119"/>
    <s v="79"/>
    <m/>
    <m/>
    <m/>
    <s v="ETO-TELE 01008/2026"/>
    <x v="0"/>
    <x v="0"/>
    <x v="2"/>
    <x v="0"/>
    <m/>
    <s v="por favor deslocar equipe da manutenção no RL 7962734119 por que foi feito o primeiro ataque no mesmo mais não voltou comunção no sistema escada"/>
    <m/>
    <m/>
    <m/>
    <m/>
    <m/>
    <m/>
    <m/>
    <m/>
    <n v="0"/>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799532-7646-4D5A-9810-BD1BF5FB9BB9}" name="Tabela dinâmica39" cacheId="19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riticidade" colHeaderCaption="Cód">
  <location ref="A3:D10" firstHeaderRow="1" firstDataRow="2" firstDataCol="1" rowPageCount="1" colPageCount="1"/>
  <pivotFields count="23">
    <pivotField showAll="0"/>
    <pivotField showAll="0"/>
    <pivotField axis="axisPage" multipleItemSelectionAllowed="1" showAll="0">
      <items count="14">
        <item x="2"/>
        <item x="4"/>
        <item x="1"/>
        <item x="0"/>
        <item x="7"/>
        <item h="1" x="6"/>
        <item h="1" x="3"/>
        <item h="1" m="1" x="11"/>
        <item h="1" m="1" x="10"/>
        <item h="1" x="5"/>
        <item h="1" x="8"/>
        <item h="1" m="1" x="9"/>
        <item h="1" m="1" x="12"/>
        <item t="default"/>
      </items>
    </pivotField>
    <pivotField dataField="1" showAll="0"/>
    <pivotField axis="axisCol"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2"/>
        <item x="3"/>
        <item n="Em definição" x="4"/>
        <item m="1" x="5"/>
        <item t="default"/>
      </items>
    </pivotField>
    <pivotField showAll="0"/>
  </pivotFields>
  <rowFields count="1">
    <field x="21"/>
  </rowFields>
  <rowItems count="6">
    <i>
      <x/>
    </i>
    <i>
      <x v="1"/>
    </i>
    <i>
      <x v="2"/>
    </i>
    <i>
      <x v="3"/>
    </i>
    <i>
      <x v="4"/>
    </i>
    <i t="grand">
      <x/>
    </i>
  </rowItems>
  <colFields count="1">
    <field x="4"/>
  </colFields>
  <colItems count="3">
    <i>
      <x/>
    </i>
    <i>
      <x v="1"/>
    </i>
    <i t="grand">
      <x/>
    </i>
  </colItems>
  <pageFields count="1">
    <pageField fld="2" hier="-1"/>
  </pageFields>
  <dataFields count="1">
    <dataField name="Qtd" fld="3" subtotal="count" baseField="2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DAE4D3-BF23-4898-A8B9-D832E35986BF}" name="Tabela dinâmica2" cacheId="19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olHeaderCaption="Status">
  <location ref="D4:E12" firstHeaderRow="1" firstDataRow="1" firstDataCol="1" rowPageCount="1" colPageCount="1"/>
  <pivotFields count="23">
    <pivotField dataField="1" showAll="0"/>
    <pivotField showAll="0"/>
    <pivotField showAll="0"/>
    <pivotField showAll="0"/>
    <pivotField showAll="0"/>
    <pivotField showAll="0"/>
    <pivotField axis="axisPage" multipleItemSelectionAllowed="1" showAll="0">
      <items count="15">
        <item h="1" x="10"/>
        <item h="1" x="4"/>
        <item h="1" x="12"/>
        <item h="1" x="5"/>
        <item h="1" x="3"/>
        <item h="1" x="6"/>
        <item x="2"/>
        <item h="1" x="11"/>
        <item h="1" x="7"/>
        <item h="1" x="8"/>
        <item h="1" x="13"/>
        <item h="1" x="1"/>
        <item h="1" x="9"/>
        <item n="Concluído" h="1" x="0"/>
        <item t="default"/>
      </items>
    </pivotField>
    <pivotField axis="axisRow" showAll="0">
      <items count="18">
        <item x="14"/>
        <item x="10"/>
        <item x="7"/>
        <item x="3"/>
        <item x="16"/>
        <item x="5"/>
        <item x="1"/>
        <item x="6"/>
        <item x="11"/>
        <item x="15"/>
        <item x="13"/>
        <item x="8"/>
        <item x="4"/>
        <item x="2"/>
        <item x="9"/>
        <item x="12"/>
        <item x="0"/>
        <item t="default"/>
      </items>
    </pivotField>
    <pivotField showAll="0">
      <items count="6">
        <item x="4"/>
        <item x="1"/>
        <item x="3"/>
        <item x="0"/>
        <item x="2"/>
        <item t="default"/>
      </items>
    </pivotField>
    <pivotField showAll="0">
      <items count="21">
        <item x="16"/>
        <item x="1"/>
        <item x="7"/>
        <item x="15"/>
        <item x="19"/>
        <item x="6"/>
        <item x="2"/>
        <item x="11"/>
        <item x="13"/>
        <item x="10"/>
        <item x="9"/>
        <item x="3"/>
        <item x="14"/>
        <item x="5"/>
        <item x="8"/>
        <item x="12"/>
        <item x="4"/>
        <item x="18"/>
        <item x="17"/>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multipleItemSelectionAllowed="1" showAll="0">
      <items count="6">
        <item x="0"/>
        <item x="1"/>
        <item x="2"/>
        <item x="3"/>
        <item h="1" x="4"/>
        <item t="default"/>
      </items>
    </pivotField>
    <pivotField showAll="0"/>
  </pivotFields>
  <rowFields count="2">
    <field x="21"/>
    <field x="7"/>
  </rowFields>
  <rowItems count="8">
    <i>
      <x/>
    </i>
    <i r="1">
      <x v="12"/>
    </i>
    <i r="1">
      <x v="13"/>
    </i>
    <i>
      <x v="1"/>
    </i>
    <i r="1">
      <x v="14"/>
    </i>
    <i>
      <x v="2"/>
    </i>
    <i r="1">
      <x v="12"/>
    </i>
    <i t="grand">
      <x/>
    </i>
  </rowItems>
  <colItems count="1">
    <i/>
  </colItems>
  <pageFields count="1">
    <pageField fld="6" hier="-1"/>
  </pageFields>
  <dataFields count="1">
    <dataField name="Contagem de Ativ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84CEBF-8D3D-4550-9315-2EDB1A0225FA}" name="Tabela dinâmica1" cacheId="19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olHeaderCaption="Status">
  <location ref="A3:B35" firstHeaderRow="1" firstDataRow="1" firstDataCol="1"/>
  <pivotFields count="23">
    <pivotField dataField="1" showAll="0"/>
    <pivotField showAll="0"/>
    <pivotField showAll="0"/>
    <pivotField showAll="0"/>
    <pivotField showAll="0"/>
    <pivotField showAll="0"/>
    <pivotField axis="axisRow" showAll="0">
      <items count="15">
        <item x="10"/>
        <item x="4"/>
        <item x="12"/>
        <item x="5"/>
        <item x="3"/>
        <item x="6"/>
        <item x="2"/>
        <item x="11"/>
        <item x="7"/>
        <item x="8"/>
        <item x="13"/>
        <item x="1"/>
        <item x="9"/>
        <item n="Concluído" x="0"/>
        <item t="default"/>
      </items>
    </pivotField>
    <pivotField showAll="0"/>
    <pivotField showAll="0">
      <items count="6">
        <item x="4"/>
        <item x="1"/>
        <item x="3"/>
        <item x="0"/>
        <item x="2"/>
        <item t="default"/>
      </items>
    </pivotField>
    <pivotField showAll="0">
      <items count="21">
        <item x="16"/>
        <item x="1"/>
        <item x="7"/>
        <item x="15"/>
        <item x="19"/>
        <item x="6"/>
        <item x="2"/>
        <item x="11"/>
        <item x="13"/>
        <item x="10"/>
        <item x="9"/>
        <item x="3"/>
        <item x="14"/>
        <item x="5"/>
        <item x="8"/>
        <item x="12"/>
        <item x="4"/>
        <item x="18"/>
        <item x="17"/>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1"/>
        <item x="2"/>
        <item x="3"/>
        <item h="1" x="4"/>
        <item t="default"/>
      </items>
    </pivotField>
    <pivotField showAll="0"/>
  </pivotFields>
  <rowFields count="2">
    <field x="21"/>
    <field x="6"/>
  </rowFields>
  <rowItems count="32">
    <i>
      <x/>
    </i>
    <i r="1">
      <x v="1"/>
    </i>
    <i r="1">
      <x v="3"/>
    </i>
    <i r="1">
      <x v="4"/>
    </i>
    <i r="1">
      <x v="5"/>
    </i>
    <i r="1">
      <x v="6"/>
    </i>
    <i r="1">
      <x v="11"/>
    </i>
    <i r="1">
      <x v="13"/>
    </i>
    <i>
      <x v="1"/>
    </i>
    <i r="1">
      <x/>
    </i>
    <i r="1">
      <x v="3"/>
    </i>
    <i r="1">
      <x v="4"/>
    </i>
    <i r="1">
      <x v="5"/>
    </i>
    <i r="1">
      <x v="6"/>
    </i>
    <i r="1">
      <x v="8"/>
    </i>
    <i r="1">
      <x v="9"/>
    </i>
    <i r="1">
      <x v="12"/>
    </i>
    <i r="1">
      <x v="13"/>
    </i>
    <i>
      <x v="2"/>
    </i>
    <i r="1">
      <x v="1"/>
    </i>
    <i r="1">
      <x v="4"/>
    </i>
    <i r="1">
      <x v="6"/>
    </i>
    <i r="1">
      <x v="7"/>
    </i>
    <i r="1">
      <x v="13"/>
    </i>
    <i>
      <x v="3"/>
    </i>
    <i r="1">
      <x/>
    </i>
    <i r="1">
      <x v="2"/>
    </i>
    <i r="1">
      <x v="4"/>
    </i>
    <i r="1">
      <x v="5"/>
    </i>
    <i r="1">
      <x v="10"/>
    </i>
    <i r="1">
      <x v="13"/>
    </i>
    <i t="grand">
      <x/>
    </i>
  </rowItems>
  <colItems count="1">
    <i/>
  </colItems>
  <dataFields count="1">
    <dataField name="Contagem de Ativ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D9F7A7-4C63-4180-9D0D-0BFAED3146E1}" name="Tabela dinâmica3" cacheId="19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olHeaderCaption="Status">
  <location ref="D16:E25" firstHeaderRow="1" firstDataRow="1" firstDataCol="1" rowPageCount="1" colPageCount="1"/>
  <pivotFields count="23">
    <pivotField dataField="1" showAll="0"/>
    <pivotField showAll="0"/>
    <pivotField showAll="0"/>
    <pivotField showAll="0"/>
    <pivotField showAll="0"/>
    <pivotField showAll="0"/>
    <pivotField axis="axisPage" multipleItemSelectionAllowed="1" showAll="0">
      <items count="15">
        <item h="1" x="10"/>
        <item h="1" x="4"/>
        <item h="1" x="12"/>
        <item h="1" x="5"/>
        <item h="1" x="3"/>
        <item x="6"/>
        <item h="1" x="2"/>
        <item h="1" x="11"/>
        <item h="1" x="7"/>
        <item h="1" x="8"/>
        <item h="1" x="13"/>
        <item h="1" x="1"/>
        <item h="1" x="9"/>
        <item n="Concluído" h="1" x="0"/>
        <item t="default"/>
      </items>
    </pivotField>
    <pivotField axis="axisRow" showAll="0">
      <items count="18">
        <item x="14"/>
        <item x="10"/>
        <item x="7"/>
        <item x="3"/>
        <item x="16"/>
        <item x="5"/>
        <item x="1"/>
        <item x="6"/>
        <item x="11"/>
        <item x="15"/>
        <item x="13"/>
        <item x="8"/>
        <item x="4"/>
        <item x="2"/>
        <item x="9"/>
        <item x="12"/>
        <item x="0"/>
        <item t="default"/>
      </items>
    </pivotField>
    <pivotField showAll="0">
      <items count="6">
        <item x="4"/>
        <item x="1"/>
        <item x="3"/>
        <item x="0"/>
        <item x="2"/>
        <item t="default"/>
      </items>
    </pivotField>
    <pivotField showAll="0">
      <items count="21">
        <item x="16"/>
        <item x="1"/>
        <item x="7"/>
        <item x="15"/>
        <item x="19"/>
        <item x="6"/>
        <item x="2"/>
        <item x="11"/>
        <item x="13"/>
        <item x="10"/>
        <item x="9"/>
        <item x="3"/>
        <item x="14"/>
        <item x="5"/>
        <item x="8"/>
        <item x="12"/>
        <item x="4"/>
        <item x="18"/>
        <item x="17"/>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multipleItemSelectionAllowed="1" showAll="0">
      <items count="6">
        <item x="0"/>
        <item x="1"/>
        <item x="2"/>
        <item x="3"/>
        <item h="1" x="4"/>
        <item t="default"/>
      </items>
    </pivotField>
    <pivotField showAll="0"/>
  </pivotFields>
  <rowFields count="2">
    <field x="21"/>
    <field x="7"/>
  </rowFields>
  <rowItems count="9">
    <i>
      <x/>
    </i>
    <i r="1">
      <x v="7"/>
    </i>
    <i>
      <x v="1"/>
    </i>
    <i r="1">
      <x v="7"/>
    </i>
    <i r="1">
      <x v="8"/>
    </i>
    <i>
      <x v="3"/>
    </i>
    <i r="1">
      <x v="9"/>
    </i>
    <i r="1">
      <x v="10"/>
    </i>
    <i t="grand">
      <x/>
    </i>
  </rowItems>
  <colItems count="1">
    <i/>
  </colItems>
  <pageFields count="1">
    <pageField fld="6" hier="-1"/>
  </pageFields>
  <dataFields count="1">
    <dataField name="Contagem de Ativ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3" xr16:uid="{FB97C640-7295-473C-A251-3720EDE57D1E}" autoFormatId="16" applyNumberFormats="0" applyBorderFormats="0" applyFontFormats="0" applyPatternFormats="0" applyAlignmentFormats="0" applyWidthHeightFormats="0">
  <queryTableRefresh nextId="25">
    <queryTableFields count="23">
      <queryTableField id="1" name="ANO_SS" tableColumnId="1"/>
      <queryTableField id="2" name="SS_ORIGINAL" tableColumnId="2"/>
      <queryTableField id="3" name="DESTINO_SS" tableColumnId="3"/>
      <queryTableField id="4" name="COD_RELIGADOR" tableColumnId="4"/>
      <queryTableField id="23" name="TIPO" tableColumnId="23"/>
      <queryTableField id="5" name="DTA_ABERTURA" tableColumnId="5"/>
      <queryTableField id="6" name="COD_LOC" tableColumnId="6"/>
      <queryTableField id="7" name="LOCALIDADE" tableColumnId="7"/>
      <queryTableField id="8" name="POLO" tableColumnId="8"/>
      <queryTableField id="9" name="REGIONAL" tableColumnId="9"/>
      <queryTableField id="10" name="ALIMENTADOR" tableColumnId="10"/>
      <queryTableField id="11" name="DESCRICAO" tableColumnId="11"/>
      <queryTableField id="12" name="Premissa 1" tableColumnId="12"/>
      <queryTableField id="13" name="Premissa 2" tableColumnId="13"/>
      <queryTableField id="14" name="Premissa 3" tableColumnId="14"/>
      <queryTableField id="15" name="Premissa 4" tableColumnId="15"/>
      <queryTableField id="16" name="Premissa 5" tableColumnId="16"/>
      <queryTableField id="17" name="Premissa 6" tableColumnId="17"/>
      <queryTableField id="18" name="Premissa 7" tableColumnId="18"/>
      <queryTableField id="19" name="Premissa 8" tableColumnId="19"/>
      <queryTableField id="20" name="Priorização" tableColumnId="20"/>
      <queryTableField id="21" name="Criticidade" tableColumnId="21"/>
      <queryTableField id="22" name="Observação após análise"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3" connectionId="4" xr16:uid="{63059310-212C-4B3E-BA9E-6FD909F45C33}" autoFormatId="16" applyNumberFormats="0" applyBorderFormats="0" applyFontFormats="0" applyPatternFormats="0" applyAlignmentFormats="0" applyWidthHeightFormats="0">
  <queryTableRefresh nextId="37">
    <queryTableFields count="23">
      <queryTableField id="1" name="Ativo" tableColumnId="1"/>
      <queryTableField id="4" name="Tipo" tableColumnId="4"/>
      <queryTableField id="5" name="Localidade" tableColumnId="5"/>
      <queryTableField id="6" name="Polo" tableColumnId="6"/>
      <queryTableField id="7" name="Regional" tableColumnId="7"/>
      <queryTableField id="8" name="SS aberta" tableColumnId="8"/>
      <queryTableField id="32" name="Parecer COEP" tableColumnId="2"/>
      <queryTableField id="28" name="Observação" tableColumnId="3"/>
      <queryTableField id="23" name="Check de concluídas" tableColumnId="22"/>
      <queryTableField id="9" name="Defeito identificado" tableColumnId="9"/>
      <queryTableField id="35" name="Quantidade" tableColumnId="23"/>
      <queryTableField id="21" name="Descrição SS" tableColumnId="21"/>
      <queryTableField id="10" name="Premissa 1" tableColumnId="10"/>
      <queryTableField id="11" name="Premissa 2" tableColumnId="11"/>
      <queryTableField id="12" name="Premissa 3" tableColumnId="12"/>
      <queryTableField id="13" name="Premissa 4" tableColumnId="13"/>
      <queryTableField id="14" name="Premissa 5" tableColumnId="14"/>
      <queryTableField id="15" name="Premissa 6" tableColumnId="15"/>
      <queryTableField id="16" name="Premissa 7" tableColumnId="16"/>
      <queryTableField id="17" name="Premissa 8" tableColumnId="17"/>
      <queryTableField id="18" name="Priorização" tableColumnId="18"/>
      <queryTableField id="19" name="Criticidade" tableColumnId="19"/>
      <queryTableField id="20" name="Observação após análise" tableColumnId="2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4" connectionId="1" xr16:uid="{EF997D14-19D1-4ADA-9D9F-BE22B81DCA50}" autoFormatId="16" applyNumberFormats="0" applyBorderFormats="0" applyFontFormats="0" applyPatternFormats="0" applyAlignmentFormats="0" applyWidthHeightFormats="0">
  <queryTableRefresh nextId="13">
    <queryTableFields count="12">
      <queryTableField id="1" name="ANO_SS" tableColumnId="1"/>
      <queryTableField id="2" name="SS_ORIGINAL" tableColumnId="2"/>
      <queryTableField id="3" name="DESTINO_SS" tableColumnId="3"/>
      <queryTableField id="4" name="COD_RELIGADOR" tableColumnId="4"/>
      <queryTableField id="5" name="DTA_ABERTURA" tableColumnId="5"/>
      <queryTableField id="6" name="DTA_CONCLUSAO" tableColumnId="6"/>
      <queryTableField id="7" name="COD_LOC" tableColumnId="7"/>
      <queryTableField id="8" name="LOCALIDADE" tableColumnId="8"/>
      <queryTableField id="9" name="POLO" tableColumnId="9"/>
      <queryTableField id="10" name="REGIONAL" tableColumnId="10"/>
      <queryTableField id="11" name="ALIMENTADOR" tableColumnId="11"/>
      <queryTableField id="12" name="DESCRICAO"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dosExternos_2" connectionId="2" xr16:uid="{2D375E71-3E1B-4055-83A0-0F24712FE1F4}" autoFormatId="16" applyNumberFormats="0" applyBorderFormats="0" applyFontFormats="0" applyPatternFormats="0" applyAlignmentFormats="0" applyWidthHeightFormats="0">
  <queryTableRefresh nextId="8">
    <queryTableFields count="7">
      <queryTableField id="1" name="NumLocal" tableColumnId="1"/>
      <queryTableField id="2" name="SiglaLocal" tableColumnId="2"/>
      <queryTableField id="3" name="NomeLocal" tableColumnId="3"/>
      <queryTableField id="4" name="SiglaPolo" tableColumnId="4"/>
      <queryTableField id="5" name="NomePoloDEOP" tableColumnId="5"/>
      <queryTableField id="6" name="NomePoloDESC" tableColumnId="6"/>
      <queryTableField id="7" name="SiglaRegional"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4A0DEFF-2E3E-4761-8991-77F0AED0E02C}" name="Pendentes" displayName="Pendentes" ref="A1:W94" tableType="queryTable" totalsRowShown="0" headerRowDxfId="98" dataDxfId="97">
  <autoFilter ref="A1:W94" xr:uid="{84A0DEFF-2E3E-4761-8991-77F0AED0E02C}"/>
  <sortState xmlns:xlrd2="http://schemas.microsoft.com/office/spreadsheetml/2017/richdata2" ref="A2:W94">
    <sortCondition descending="1" ref="U1:U94"/>
  </sortState>
  <tableColumns count="23">
    <tableColumn id="1" xr3:uid="{E6A6C5EE-7280-4F10-9DD5-7269F422F0EF}" uniqueName="1" name="ANO_SS" queryTableFieldId="1" dataDxfId="96"/>
    <tableColumn id="2" xr3:uid="{EE3FC682-ED4A-41CF-B211-F3F3955D42C5}" uniqueName="2" name="SS_ORIGINAL" queryTableFieldId="2" dataDxfId="95"/>
    <tableColumn id="3" xr3:uid="{539BB74E-1074-42E2-8415-34D208CF60B5}" uniqueName="3" name="DESTINO_SS" queryTableFieldId="3" dataDxfId="94"/>
    <tableColumn id="4" xr3:uid="{A40AE912-5F58-4E47-8E2A-56F45A7CBB1C}" uniqueName="4" name="COD_RELIGADOR" queryTableFieldId="4" dataDxfId="93"/>
    <tableColumn id="23" xr3:uid="{BB4BA0C2-BA93-432D-982F-3DFA4CBE6D77}" uniqueName="23" name="TIPO" queryTableFieldId="23" dataDxfId="92"/>
    <tableColumn id="5" xr3:uid="{CC224E63-0DDE-4705-96F9-53D9CF788961}" uniqueName="5" name="DTA_ABERTURA" queryTableFieldId="5" dataDxfId="91"/>
    <tableColumn id="6" xr3:uid="{35B829E1-91B8-4716-A985-150A7CD343B7}" uniqueName="6" name="COD_LOC" queryTableFieldId="6" dataDxfId="90"/>
    <tableColumn id="7" xr3:uid="{BBDC719E-D769-487C-87A8-C906A90AE812}" uniqueName="7" name="LOCALIDADE" queryTableFieldId="7" dataDxfId="89"/>
    <tableColumn id="8" xr3:uid="{2C689952-2478-4C66-9E1A-3D3A0D0A4E6D}" uniqueName="8" name="POLO" queryTableFieldId="8" dataDxfId="88"/>
    <tableColumn id="9" xr3:uid="{C16E0600-9493-486D-8BEC-E9CD73884D5B}" uniqueName="9" name="REGIONAL" queryTableFieldId="9" dataDxfId="87"/>
    <tableColumn id="10" xr3:uid="{560D3DDE-12C9-4E93-9C5E-F335A7F9E150}" uniqueName="10" name="ALIMENTADOR" queryTableFieldId="10" dataDxfId="86"/>
    <tableColumn id="11" xr3:uid="{082027D3-DE6A-45E3-BDE5-31D0A3DB1DEB}" uniqueName="11" name="DESCRICAO" queryTableFieldId="11" dataDxfId="85"/>
    <tableColumn id="12" xr3:uid="{72A081E0-A0B5-494B-847A-A9D16D37DC94}" uniqueName="12" name="Premissa 1" queryTableFieldId="12" dataDxfId="84"/>
    <tableColumn id="13" xr3:uid="{A644284D-F5FD-4C89-9984-0898650CAA3D}" uniqueName="13" name="Premissa 2" queryTableFieldId="13" dataDxfId="83"/>
    <tableColumn id="14" xr3:uid="{6EDEB7FE-2C85-46F8-817E-A1CA23BEFBAC}" uniqueName="14" name="Premissa 3" queryTableFieldId="14" dataDxfId="82"/>
    <tableColumn id="15" xr3:uid="{9BC02513-F3E6-485F-8A1E-E2E6AE51B225}" uniqueName="15" name="Premissa 4" queryTableFieldId="15" dataDxfId="81"/>
    <tableColumn id="16" xr3:uid="{FFFD87E8-E939-46C1-8CDB-D81121FA9C34}" uniqueName="16" name="Premissa 5" queryTableFieldId="16" dataDxfId="80"/>
    <tableColumn id="17" xr3:uid="{DD948E96-CE36-44B7-9F1F-CC46C31BD723}" uniqueName="17" name="Premissa 6" queryTableFieldId="17" dataDxfId="79"/>
    <tableColumn id="18" xr3:uid="{67E8779A-14AA-4EC8-892D-CC09FE0D8A89}" uniqueName="18" name="Premissa 7" queryTableFieldId="18" dataDxfId="78"/>
    <tableColumn id="19" xr3:uid="{1E2AE6CD-77BD-4037-A7CF-818AA404F62C}" uniqueName="19" name="Premissa 8" queryTableFieldId="19" dataDxfId="77"/>
    <tableColumn id="20" xr3:uid="{A8AD0B5E-0BD3-4D1E-8F4E-0AC87AEC1D85}" uniqueName="20" name="Priorização" queryTableFieldId="20" dataDxfId="76"/>
    <tableColumn id="21" xr3:uid="{DD1E2F8D-3D0C-454D-9191-3374C26AB92E}" uniqueName="21" name="Criticidade" queryTableFieldId="21" dataDxfId="75"/>
    <tableColumn id="22" xr3:uid="{39B2BDCF-7029-42BE-8B60-87DD2E621DDB}" uniqueName="22" name="Observação após análise" queryTableFieldId="22" dataDxfId="7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5F00080-E5C1-41E0-9542-BD4DE7DE2AAD}" name="Premissas_por_Equipamento" displayName="Premissas_por_Equipamento" ref="A1:W117" tableType="queryTable" totalsRowShown="0">
  <autoFilter ref="A1:W117" xr:uid="{B5F00080-E5C1-41E0-9542-BD4DE7DE2AAD}"/>
  <tableColumns count="23">
    <tableColumn id="1" xr3:uid="{1EF87124-D127-44E9-9D0B-5F69B9AB30AF}" uniqueName="1" name="Ativo" queryTableFieldId="1"/>
    <tableColumn id="4" xr3:uid="{52B535D2-9921-4F36-BBDD-0B52F66B73FF}" uniqueName="4" name="Tipo" queryTableFieldId="4"/>
    <tableColumn id="5" xr3:uid="{EB5B47BE-FFE6-4A88-9E4F-4E0BE7C9A1FE}" uniqueName="5" name="Localidade" queryTableFieldId="5" dataDxfId="73"/>
    <tableColumn id="6" xr3:uid="{2C0DB2A4-8BC4-4656-A3DF-84C2FA780C04}" uniqueName="6" name="Polo" queryTableFieldId="6" dataDxfId="72"/>
    <tableColumn id="7" xr3:uid="{E800A53D-B9D0-46C2-8E9A-35506D919202}" uniqueName="7" name="Regional" queryTableFieldId="7" dataDxfId="71"/>
    <tableColumn id="8" xr3:uid="{A9B942B7-CCF7-486F-BA36-91E1CE439437}" uniqueName="8" name="SS aberta" queryTableFieldId="8"/>
    <tableColumn id="2" xr3:uid="{63254BE1-B5F3-4866-8249-A45802DF3996}" uniqueName="2" name="Parecer COEP" queryTableFieldId="32"/>
    <tableColumn id="3" xr3:uid="{E5BB3A28-F8AF-4AB2-BA3F-234AAC5679D0}" uniqueName="3" name="Observação" queryTableFieldId="28"/>
    <tableColumn id="22" xr3:uid="{66893F11-9746-4FCD-8609-FE1D6F0E37F5}" uniqueName="22" name="Check de concluídas" queryTableFieldId="23"/>
    <tableColumn id="9" xr3:uid="{C1D1C190-0237-4893-9B8A-D360B4AE6F03}" uniqueName="9" name="Defeito identificado" queryTableFieldId="9"/>
    <tableColumn id="23" xr3:uid="{72C0757E-3B2B-4465-99F5-C25423B2EA3E}" uniqueName="23" name="Quantidade" queryTableFieldId="35"/>
    <tableColumn id="21" xr3:uid="{E63D589B-61F7-43CA-91F9-4CA72432A4E2}" uniqueName="21" name="Descrição SS" queryTableFieldId="21"/>
    <tableColumn id="10" xr3:uid="{A31D04D4-26B5-4EEE-8E88-62F14CDDDB88}" uniqueName="10" name="Premissa 1" queryTableFieldId="10"/>
    <tableColumn id="11" xr3:uid="{762E79EA-3E5B-4A46-859E-21FC6B874569}" uniqueName="11" name="Premissa 2" queryTableFieldId="11"/>
    <tableColumn id="12" xr3:uid="{FD7B2E67-56DE-4F30-8C18-AED6F7909D4C}" uniqueName="12" name="Premissa 3" queryTableFieldId="12"/>
    <tableColumn id="13" xr3:uid="{D31D86ED-8820-43AA-8EF9-67E411B6C0AC}" uniqueName="13" name="Premissa 4" queryTableFieldId="13"/>
    <tableColumn id="14" xr3:uid="{60684C5A-2AF6-4916-9139-0334B2C1941E}" uniqueName="14" name="Premissa 5" queryTableFieldId="14"/>
    <tableColumn id="15" xr3:uid="{130939B2-A203-4373-8620-4C1B473EB512}" uniqueName="15" name="Premissa 6" queryTableFieldId="15"/>
    <tableColumn id="16" xr3:uid="{BEEC70DD-6F7A-43F4-B8DE-03018578CD71}" uniqueName="16" name="Premissa 7" queryTableFieldId="16"/>
    <tableColumn id="17" xr3:uid="{C239648D-A132-4397-B968-15086974B0CA}" uniqueName="17" name="Premissa 8" queryTableFieldId="17"/>
    <tableColumn id="18" xr3:uid="{981AF409-2462-4C7E-9870-03850D1D9D63}" uniqueName="18" name="Priorização" queryTableFieldId="18"/>
    <tableColumn id="19" xr3:uid="{E83441D9-3ABD-4274-B9E2-08F42BDD4CE9}" uniqueName="19" name="Criticidade" queryTableFieldId="19" dataDxfId="70"/>
    <tableColumn id="20" xr3:uid="{FB772826-0D39-4376-A013-D09E3918B09F}" uniqueName="20" name="Observação após análise" queryTableFieldId="20" dataDxfId="6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D200EBF-61C5-4C81-A6C1-9591098D8577}" name="Concluídas" displayName="Concluídas" ref="A1:L40" tableType="queryTable" totalsRowShown="0">
  <autoFilter ref="A1:L40" xr:uid="{4D200EBF-61C5-4C81-A6C1-9591098D8577}"/>
  <tableColumns count="12">
    <tableColumn id="1" xr3:uid="{EC58944D-1C71-4BBB-AAC5-60583AA3E13A}" uniqueName="1" name="ANO_SS" queryTableFieldId="1"/>
    <tableColumn id="2" xr3:uid="{4F3BD8B4-62CD-4703-9595-DDF744CAB999}" uniqueName="2" name="SS_ORIGINAL" queryTableFieldId="2" dataDxfId="68"/>
    <tableColumn id="3" xr3:uid="{73D9E47C-B3E5-45FF-A96D-476115762DA7}" uniqueName="3" name="DESTINO_SS" queryTableFieldId="3" dataDxfId="67"/>
    <tableColumn id="4" xr3:uid="{EA61F354-1B17-42E2-9300-9AA7B6268516}" uniqueName="4" name="COD_RELIGADOR" queryTableFieldId="4"/>
    <tableColumn id="5" xr3:uid="{256C9B12-5859-4DB9-B3C8-FB84E767FA36}" uniqueName="5" name="DTA_ABERTURA" queryTableFieldId="5" dataDxfId="66"/>
    <tableColumn id="6" xr3:uid="{76841132-A1FE-42A1-8DFF-A2C8D38F1AC2}" uniqueName="6" name="DTA_CONCLUSAO" queryTableFieldId="6" dataDxfId="65"/>
    <tableColumn id="7" xr3:uid="{68088FF6-8BD0-46D5-8ADD-46549AC53DEC}" uniqueName="7" name="COD_LOC" queryTableFieldId="7"/>
    <tableColumn id="8" xr3:uid="{3B7EF0B4-A965-41BC-AA7F-D5CD55939179}" uniqueName="8" name="LOCALIDADE" queryTableFieldId="8" dataDxfId="64"/>
    <tableColumn id="9" xr3:uid="{C841F033-098E-4BC5-A925-B0F082B05CC7}" uniqueName="9" name="POLO" queryTableFieldId="9" dataDxfId="63"/>
    <tableColumn id="10" xr3:uid="{F19CB83E-FAEB-4781-B5E0-DA2398F249B4}" uniqueName="10" name="REGIONAL" queryTableFieldId="10" dataDxfId="62"/>
    <tableColumn id="11" xr3:uid="{FDE60DF8-5B3A-4A8E-BB61-E49326129E7C}" uniqueName="11" name="ALIMENTADOR" queryTableFieldId="11" dataDxfId="61"/>
    <tableColumn id="12" xr3:uid="{11EE351C-EDC9-4DF1-8522-CAD0EC1C86CE}" uniqueName="12" name="DESCRICAO" queryTableFieldId="12" dataDxfId="6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255971-C30E-427C-A20F-6A2A910E19E8}" name="Table2" displayName="Table2" ref="A1:Y131">
  <autoFilter ref="A1:Y131" xr:uid="{80B6FB4C-6219-4940-9542-6F129007473F}">
    <filterColumn colId="1">
      <filters>
        <filter val="0"/>
        <filter val="Aguardando criação da Obra"/>
        <filter val="Aguardando previsão de substituição"/>
        <filter val="Ainda no nosso posto , mas de acordo com o Luanderson vai disponibilizar a equipe na terça-feira 03/06"/>
        <filter val="ATRASO COCM´S"/>
        <filter val="Calendário logistco vai sair hoje 29/05/2026, assim que tiver rota de entrga avisamos"/>
        <filter val="Cancelar a obra tentar vedação do equipamento Melhoria de aterramento"/>
        <filter val="Concluido"/>
        <filter val="CONTROLE NOJA ENVIADO"/>
        <filter val="Deslocamento  da ASPO Alinhado com o Allan de Guaraí para Pedro Afonso"/>
        <filter val="Em andamento"/>
        <filter val="Entrega 16/07"/>
        <filter val="Equipamento em operação em campo de acordo com a visita do Luanderson tem fotos_x000a_Equipamento já em operação , realocar controle de Regulador para Arapoema 5800371025"/>
        <filter val="Equipamento em operação no SCADA, favor enviar tanque enviado para Porto Nacional e cancelar a Obra. Utilizaremos tanque para Porto7953610256"/>
        <filter val="Equipamento entregue, redirecionaremos para o Caso 7933726256"/>
        <filter val="ETO-RD-GU 1391/2026 (atrasada) Aguardando previsão de substituição"/>
        <filter val="Melhoria de aterramento"/>
        <filter val="Não Houve entrega do Material"/>
        <filter val="NÃO PRECISA REQUISITAR EQUIPAMENTO, VAMOS UTILIZAR EQ RETIRADO DE OBRA DE CONSTRUÇÃO."/>
        <filter val="Previsão de Substiuição atrasada"/>
        <filter val="PROBLEMA NO ENVIO DO CONTROLE"/>
        <filter val="Redirecionado para atender 5854566043 e 5862236091"/>
        <filter val="REQUISITAR 03 PEÇAS POIS 02  PÇ FOI RETIRADA PARA INSTALAÇÃO EM OBRA DE CONSTRUÇÃO."/>
        <filter val="Utilizaremos o que foi direcionado para o Polo Paraíso que já estava em operação e enviar para esse caso"/>
        <filter val="Utilizaremos o que foi direcionado para Santa Rita , Favor Cancelar a obra COCM´S"/>
      </filters>
    </filterColumn>
  </autoFilter>
  <sortState xmlns:xlrd2="http://schemas.microsoft.com/office/spreadsheetml/2017/richdata2" ref="A2:Y131">
    <sortCondition ref="A1:A131"/>
  </sortState>
  <tableColumns count="25">
    <tableColumn id="1" xr3:uid="{41281F92-479C-408C-A88A-FC739D4F093E}" name="Ativo" dataDxfId="56"/>
    <tableColumn id="24" xr3:uid="{ABD92491-1697-4554-A544-7CD0BD883E70}" name="Coluna1" dataDxfId="55">
      <calculatedColumnFormula>_xlfn.XLOOKUP(Table2[[#This Row],[Ativo]],Joao!B:B,Joao!Z:Z)</calculatedColumnFormula>
    </tableColumn>
    <tableColumn id="6" xr3:uid="{99BCFC89-B69E-4DAB-829D-A1A638FE7E6B}" name="Tipo" dataDxfId="54">
      <calculatedColumnFormula>MID(Table2[[#This Row],[Ativo]],1,2)</calculatedColumnFormula>
    </tableColumn>
    <tableColumn id="12" xr3:uid="{D5F1349F-118C-4717-986E-6F7722263E79}" name="Localidade" dataDxfId="53"/>
    <tableColumn id="13" xr3:uid="{6BEDAF84-64A4-4C5E-A01E-6A454D955B63}" name="Polo" dataDxfId="52"/>
    <tableColumn id="14" xr3:uid="{49201567-5003-4959-B1DE-69F58BB94EE3}" name="Regional" dataDxfId="51"/>
    <tableColumn id="4" xr3:uid="{666DBB56-1C52-4D53-AB66-0B01F8638141}" name="SS aberta" dataDxfId="50">
      <calculatedColumnFormula>IFERROR(_xlfn.XLOOKUP(Table2[[#This Row],[Ativo]],Pendentes[COD_RELIGADOR],Pendentes[SS_ORIGINAL]),"CONCLUÍDA")</calculatedColumnFormula>
    </tableColumn>
    <tableColumn id="10" xr3:uid="{B8B07055-3AB5-4990-BD9A-F9B25DAB562F}" name="Parecer COEP" dataDxfId="49"/>
    <tableColumn id="8" xr3:uid="{C54BA805-36B5-40AA-A919-D69AB07D8D12}" name="Observação" dataDxfId="48"/>
    <tableColumn id="25" xr3:uid="{940A89AA-758A-41D4-BB3D-06DD61CA86A3}" name="Coluna2" dataDxfId="47"/>
    <tableColumn id="22" xr3:uid="{0ACC8731-FD25-4711-943D-B97EB2200663}" name="Check de concluídas" dataDxfId="46"/>
    <tableColumn id="3" xr3:uid="{0F33F7BF-AB65-4957-82D4-2C07667F0D1A}" name="Defeito identificado" dataDxfId="45"/>
    <tableColumn id="21" xr3:uid="{C8B3B76A-6261-4599-BB9B-5DA421AE265D}" name="Quantidade" dataDxfId="44"/>
    <tableColumn id="11" xr3:uid="{76C212D9-9811-46B5-8A31-AA608F8FF162}" name="Descrição SS" dataDxfId="43">
      <calculatedColumnFormula>IFERROR(_xlfn.XLOOKUP(Table2[[#This Row],[Ativo]],Pendentes[COD_RELIGADOR],Pendentes[DESCRICAO]),"")</calculatedColumnFormula>
    </tableColumn>
    <tableColumn id="5" xr3:uid="{34A57F05-BFBE-43F0-B610-405DA456D94F}" name="Premissa 1" dataDxfId="42"/>
    <tableColumn id="7" xr3:uid="{539BEA4D-FF07-4699-846D-27D0A2D0AEE0}" name="Premissa 2" dataDxfId="41"/>
    <tableColumn id="9" xr3:uid="{59B1AD89-5EB1-4EE2-BE95-47DCFCE8C956}" name="Premissa 3" dataDxfId="40"/>
    <tableColumn id="15" xr3:uid="{A1F2D3AA-DB13-47CC-8897-03766E39C03E}" name="Premissa 4" dataDxfId="39"/>
    <tableColumn id="16" xr3:uid="{F2276FE9-9C37-4DDD-844C-1DBCF3768D2B}" name="Premissa 5" dataDxfId="38"/>
    <tableColumn id="17" xr3:uid="{BE16451E-F964-428E-B416-FF42248F1E92}" name="Premissa 6" dataDxfId="37"/>
    <tableColumn id="18" xr3:uid="{CBA11534-4A10-46D4-AB3B-87FADBB04776}" name="Premissa 7" dataDxfId="36"/>
    <tableColumn id="23" xr3:uid="{3DCD93A7-EB07-4A1E-B773-D8EBB0C89106}" name="Premissa 8" dataDxfId="35"/>
    <tableColumn id="19" xr3:uid="{62D81D25-4342-4E66-B772-C85CC6749E7D}" name="Priorização" dataDxfId="34">
      <calculatedColumnFormula>SUM(Table2[[#This Row],[Premissa 1]:[Premissa 8]])</calculatedColumnFormula>
    </tableColumn>
    <tableColumn id="2" xr3:uid="{CD7FE349-74D5-496A-926C-D4FA1C9AC10B}" name="Criticidade" dataDxfId="33"/>
    <tableColumn id="20" xr3:uid="{57F338D8-D83B-429A-9C8B-3ED99A5512FF}" name="Observação após análise" dataDxfId="3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B6FB4C-6219-4940-9542-6F129007473F}" name="Table" displayName="Table" ref="A1:W131">
  <autoFilter ref="A1:W131" xr:uid="{80B6FB4C-6219-4940-9542-6F129007473F}"/>
  <sortState xmlns:xlrd2="http://schemas.microsoft.com/office/spreadsheetml/2017/richdata2" ref="A2:W130">
    <sortCondition descending="1" ref="U1:U130"/>
  </sortState>
  <tableColumns count="23">
    <tableColumn id="1" xr3:uid="{D25F50E7-6BC0-4A3F-B6AE-42D706B1FE12}" name="Ativo" dataDxfId="28"/>
    <tableColumn id="6" xr3:uid="{F553B815-B9DE-460F-9151-2068646301E7}" name="Tipo" dataDxfId="27">
      <calculatedColumnFormula>MID(Table[[#This Row],[Ativo]],1,2)</calculatedColumnFormula>
    </tableColumn>
    <tableColumn id="12" xr3:uid="{8BC516DA-7737-49CE-9657-D1A8A54F9C85}" name="Localidade" dataDxfId="26"/>
    <tableColumn id="13" xr3:uid="{C8727B0E-0753-4097-B14E-EF211D9E25F1}" name="Polo" dataDxfId="25"/>
    <tableColumn id="14" xr3:uid="{191B0FB2-F81C-4A9F-ADA3-00F044CFF4DD}" name="Regional" dataDxfId="24"/>
    <tableColumn id="4" xr3:uid="{0C0E295E-0BE4-4EC8-8DD1-E8393A84DB05}" name="SS aberta" dataDxfId="23">
      <calculatedColumnFormula>IFERROR(_xlfn.XLOOKUP(Table[[#This Row],[Ativo]],Pendentes[COD_RELIGADOR],Pendentes[SS_ORIGINAL]),"CONCLUÍDA")</calculatedColumnFormula>
    </tableColumn>
    <tableColumn id="10" xr3:uid="{E71B99D2-5D7D-407C-9C3D-1B0781A5967C}" name="Parecer COEP" dataDxfId="22"/>
    <tableColumn id="8" xr3:uid="{F9263CEE-C68F-4C6A-AD07-A768B37D8819}" name="Observação" dataDxfId="21"/>
    <tableColumn id="22" xr3:uid="{BC78A7D3-3FD6-4EF0-B261-4AE2AF3CD9B4}" name="Check de concluídas" dataDxfId="20"/>
    <tableColumn id="3" xr3:uid="{B30A1D85-31D5-4CD6-BF05-F6857C42F529}" name="Defeito identificado" dataDxfId="19"/>
    <tableColumn id="21" xr3:uid="{8EBA67A3-E1DE-479E-B7C4-110F2A193E06}" name="Quantidade" dataDxfId="18"/>
    <tableColumn id="11" xr3:uid="{C8D6C4AB-B6B8-4E8C-8993-53FF4E01E9ED}" name="Descrição SS" dataDxfId="17">
      <calculatedColumnFormula>IFERROR(_xlfn.XLOOKUP(Table[[#This Row],[Ativo]],Pendentes[COD_RELIGADOR],Pendentes[DESCRICAO]),"")</calculatedColumnFormula>
    </tableColumn>
    <tableColumn id="5" xr3:uid="{004E5D25-E2A6-4BA0-A9F3-21FF7D03C4A5}" name="Premissa 1" dataDxfId="16"/>
    <tableColumn id="7" xr3:uid="{6FB7DB52-DD97-4793-82E3-C7F07FD78EBB}" name="Premissa 2" dataDxfId="15"/>
    <tableColumn id="9" xr3:uid="{67B7578D-5D5D-472F-87AB-DF7F52028E4A}" name="Premissa 3" dataDxfId="14"/>
    <tableColumn id="15" xr3:uid="{D02FD7C9-1F52-4B9C-99AC-780B84E93946}" name="Premissa 4" dataDxfId="13"/>
    <tableColumn id="16" xr3:uid="{6FB3C19E-7C69-40CD-84DA-1C591E2DFD3F}" name="Premissa 5" dataDxfId="12"/>
    <tableColumn id="17" xr3:uid="{C838B824-B0ED-4C18-9269-186D01EA5058}" name="Premissa 6" dataDxfId="11"/>
    <tableColumn id="18" xr3:uid="{3A9DA255-4F54-4C13-BE37-B46992895559}" name="Premissa 7" dataDxfId="10"/>
    <tableColumn id="23" xr3:uid="{B98C81D7-ED38-4E64-95ED-2F3CF7A83BDD}" name="Premissa 8" dataDxfId="9"/>
    <tableColumn id="19" xr3:uid="{305A0E1A-4554-4E34-ADAF-0F467F9AA60B}" name="Priorização" dataDxfId="8">
      <calculatedColumnFormula>SUM(Table[[#This Row],[Premissa 1]:[Premissa 8]])</calculatedColumnFormula>
    </tableColumn>
    <tableColumn id="2" xr3:uid="{334E5566-6E77-4FE9-9606-A6EF0E33A6C7}" name="Criticidade" dataDxfId="7"/>
    <tableColumn id="20" xr3:uid="{02FADC95-AC05-4876-9E9C-086DDBB73DC4}" name="Observação após análise" dataDxfId="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C9829F4-2724-4032-9878-8C66D28E5F4E}" name="Localidades" displayName="Localidades" ref="A1:G276" tableType="queryTable" totalsRowShown="0">
  <autoFilter ref="A1:G276" xr:uid="{CC9829F4-2724-4032-9878-8C66D28E5F4E}"/>
  <tableColumns count="7">
    <tableColumn id="1" xr3:uid="{6E474941-C2B8-424D-B7A6-7ECEB050B936}" uniqueName="1" name="NumLocal" queryTableFieldId="1"/>
    <tableColumn id="2" xr3:uid="{1AEAD494-240F-46F7-BAE1-BAC2DE611B21}" uniqueName="2" name="SiglaLocal" queryTableFieldId="2" dataDxfId="5"/>
    <tableColumn id="3" xr3:uid="{B64188E1-B0BD-47A2-955A-4530562775F9}" uniqueName="3" name="NomeLocal" queryTableFieldId="3" dataDxfId="4"/>
    <tableColumn id="4" xr3:uid="{A6EE629C-314B-42DD-8E9A-130C1D9C3520}" uniqueName="4" name="SiglaPolo" queryTableFieldId="4" dataDxfId="3"/>
    <tableColumn id="5" xr3:uid="{491711E0-CDB2-4E74-BA72-FC4701C31809}" uniqueName="5" name="NomePoloDEOP" queryTableFieldId="5" dataDxfId="2"/>
    <tableColumn id="6" xr3:uid="{3A70E64F-F4EA-4FEC-AF9D-F6AD71D8AC17}" uniqueName="6" name="NomePoloDESC" queryTableFieldId="6" dataDxfId="1"/>
    <tableColumn id="7" xr3:uid="{D6C12579-1941-4E39-AD40-184B24D6171D}" uniqueName="7" name="SiglaRegional"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6" dT="2026-07-27T21:55:01.48" personId="{2CA1750F-6264-42FE-A0B9-B3DEE7C271DA}" id="{6E139C2E-CDD2-4D41-B3DB-7E6D67770E02}">
    <text>Equipamento alinhado com o Jean para colocar os cabos compatibilizadores</text>
  </threadedComment>
  <threadedComment ref="H7" dT="2026-08-12T18:13:28.63" personId="{6564218A-E088-4662-9D46-DA31EA88AA31}" id="{B9554FAB-B93A-4A33-A94A-18003134722F}">
    <text>Ocorreu simultaneo era caso de furto</text>
  </threadedComment>
  <threadedComment ref="A9" dT="2026-07-22T13:16:07.28" personId="{6564218A-E088-4662-9D46-DA31EA88AA31}" id="{D708458E-3082-42BE-BA9C-FB76140F8A89}">
    <text>Equipamento alinhado com o Jean para colocar os cabos compatibilizadores , vamos só instalar o controle e o suporte</text>
  </threadedComment>
  <threadedComment ref="A16" dT="2026-07-27T23:36:35.50" personId="{2CA1750F-6264-42FE-A0B9-B3DEE7C271DA}" id="{5E0A5B36-30BA-4785-9EC7-D9E59F1B16CE}">
    <text>Equipamento não abre a tela de controle de sinais, Zenilson verificar.</text>
  </threadedComment>
  <threadedComment ref="A20" dT="2026-07-27T23:03:21.41" personId="{2CA1750F-6264-42FE-A0B9-B3DEE7C271DA}" id="{2832532F-3601-467A-AD62-C3A497EF3F2F}">
    <text>Equipamento fora de operação, baixada erroneamente pelo COCM.</text>
  </threadedComment>
  <threadedComment ref="A25" dT="2026-07-22T14:01:27.87" personId="{6564218A-E088-4662-9D46-DA31EA88AA31}" id="{59C5E8B4-950F-4728-A552-4F68E2A85566}">
    <text>Joelson vai mandar uma equipe de campo ver</text>
  </threadedComment>
  <threadedComment ref="H25" dT="2026-07-28T14:42:16.96" personId="{6564218A-E088-4662-9D46-DA31EA88AA31}" id="{C67DE103-245C-480C-AFF1-8C8083938B75}">
    <text>Conversar Com o Sandro Para Podermos mandar o e-mail para o Juridico</text>
  </threadedComment>
  <threadedComment ref="I28" dT="2026-08-12T18:25:28.95" personId="{6564218A-E088-4662-9D46-DA31EA88AA31}" id="{2058EF75-2506-49C6-943C-0BAF81E854D5}">
    <text>21/08 Se a DB Machado for pro Sul</text>
  </threadedComment>
  <threadedComment ref="A29" dT="2026-07-27T23:50:33.68" personId="{2CA1750F-6264-42FE-A0B9-B3DEE7C271DA}" id="{2A646E23-7359-4DAA-8D67-66CEB4A83557}">
    <text>Equipamento não abre a tela de controle de sinais, Zenilson verificar.</text>
  </threadedComment>
  <threadedComment ref="A39" dT="2026-07-22T13:30:56.19" personId="{6564218A-E088-4662-9D46-DA31EA88AA31}" id="{B310DD81-FDB4-4F35-8D41-78710C9E81A3}">
    <text xml:space="preserve">Foi redirecionado para priorizar o RL 7933726256 </text>
  </threadedComment>
  <threadedComment ref="A42" dT="2026-07-27T23:56:43.83" personId="{2CA1750F-6264-42FE-A0B9-B3DEE7C271DA}" id="{4B850DF9-9D81-4FD5-8455-43E1F38C3E1F}">
    <text>Paramos aqui</text>
  </threadedComment>
  <threadedComment ref="A54" dT="2026-07-27T23:09:12.51" personId="{2CA1750F-6264-42FE-A0B9-B3DEE7C271DA}" id="{9AD85768-E606-4DBC-95DD-02B1E72530BC}">
    <text>Confirmar informação de remanejamento inserida na SS.</text>
  </threadedComment>
  <threadedComment ref="I61" dT="2026-08-12T18:24:52.75" personId="{6564218A-E088-4662-9D46-DA31EA88AA31}" id="{F375E268-C2EA-4FF1-BEB3-31A2F451652F}">
    <text>22/08 Se a DB Machado for pro Sul</text>
  </threadedComment>
  <threadedComment ref="A62" dT="2026-07-27T23:15:55.74" personId="{2CA1750F-6264-42FE-A0B9-B3DEE7C271DA}" id="{CD0B1590-A453-4743-B7D1-8AF3FB367521}">
    <text>Nota baixada erroneamente pelo DMSL, aguardando retorno da Lorrane.</text>
  </threadedComment>
  <threadedComment ref="A71" dT="2026-07-14T21:25:38.69" personId="{2CA1750F-6264-42FE-A0B9-B3DEE7C271DA}" id="{535E2C4F-7CF7-4D1A-BED5-6155ADC108E2}">
    <text>Verificar com a PROT sobre os ajustes, equipamento já em operação.</text>
  </threadedComment>
  <threadedComment ref="L73" dT="2026-07-27T21:38:28.05" personId="{2CA1750F-6264-42FE-A0B9-B3DEE7C271DA}" id="{DC2E55DF-8169-487D-A11A-15E83A494C0F}">
    <text>Artech</text>
  </threadedComment>
  <threadedComment ref="L95" dT="2026-07-27T22:02:22.93" personId="{6564218A-E088-4662-9D46-DA31EA88AA31}" id="{0325A06D-7BE0-4393-AAAC-8D5E8037A023}">
    <text xml:space="preserve">Redirecionar tanque do 7955946007 </text>
  </threadedComment>
  <threadedComment ref="L95" dT="2026-08-06T12:00:31.31" personId="{6564218A-E088-4662-9D46-DA31EA88AA31}" id="{F23B7824-F26F-4FBA-81AB-708FED20DA56}" parentId="{0325A06D-7BE0-4393-AAAC-8D5E8037A023}">
    <text>7955520116 - Redirecionar para esse</text>
  </threadedComment>
  <threadedComment ref="A102" dT="2026-07-27T22:28:43.17" personId="{2CA1750F-6264-42FE-A0B9-B3DEE7C271DA}" id="{1E8F91FD-46BF-4C84-BBB2-1D5735B92A8E}">
    <text>Nota baixada erroneamente pelo DMSL, aguardando retorno da Lorrane.</text>
  </threadedComment>
  <threadedComment ref="A106" dT="2026-07-14T21:28:50.48" personId="{2CA1750F-6264-42FE-A0B9-B3DEE7C271DA}" id="{15EA5A79-A9E3-4B39-958F-C93A8E6CC1DA}">
    <text>Equipamento em operação, necessário confirmar com o COCM Palmas</text>
  </threadedComment>
  <threadedComment ref="L110" dT="2026-07-27T22:44:52.90" personId="{6564218A-E088-4662-9D46-DA31EA88AA31}" id="{2AF65545-6B4E-4DD7-9198-31E0C1B096EA}">
    <text>Tanque de Caseara e o Controle do Estoque Sono</text>
  </threadedComment>
  <threadedComment ref="H113" dT="2026-07-27T22:56:48.83" personId="{6564218A-E088-4662-9D46-DA31EA88AA31}" id="{255CB460-5F6C-4BF8-8027-E4F6AD6F6B58}">
    <text>Tenho um Controle ou consigo reaproveitar o tanque em outro, dependendo da criticidade</text>
  </threadedComment>
  <threadedComment ref="A130" dT="2026-07-14T21:45:49.00" personId="{2CA1750F-6264-42FE-A0B9-B3DEE7C271DA}" id="{D704E761-0AD8-4A99-B919-33F6BAC9A363}">
    <text>Linha viva substituiu a CH danificada, confirmar com o Zenilson se esta em operação.</text>
  </threadedComment>
</ThreadedComments>
</file>

<file path=xl/threadedComments/threadedComment2.xml><?xml version="1.0" encoding="utf-8"?>
<ThreadedComments xmlns="http://schemas.microsoft.com/office/spreadsheetml/2018/threadedcomments" xmlns:x="http://schemas.openxmlformats.org/spreadsheetml/2006/main">
  <threadedComment ref="A4" dT="2026-07-22T13:16:07.28" personId="{6564218A-E088-4662-9D46-DA31EA88AA31}" id="{FA3BD34B-2A07-467F-8B11-22E1D1AB5C33}">
    <text>Equipamento alinhado com o Jean para colocar os cabos compatibilizadores , vamos só instalar o controle e o suporte</text>
  </threadedComment>
  <threadedComment ref="J6" dT="2026-07-27T21:38:28.05" personId="{2CA1750F-6264-42FE-A0B9-B3DEE7C271DA}" id="{15DCDDF5-AEE2-4B96-AD0E-11D15B25A282}">
    <text>Artech</text>
  </threadedComment>
  <threadedComment ref="J7" dT="2026-07-27T22:02:22.93" personId="{6564218A-E088-4662-9D46-DA31EA88AA31}" id="{6D07E0F6-4DF0-4ADE-9949-3A718B5AFBAE}">
    <text xml:space="preserve">Redirecionar tanque do 7955946007 </text>
  </threadedComment>
  <threadedComment ref="J7" dT="2026-08-06T12:00:31.31" personId="{6564218A-E088-4662-9D46-DA31EA88AA31}" id="{CE76CAA6-9D87-4EE9-8EE0-32F6BD44FD99}" parentId="{6D07E0F6-4DF0-4ADE-9949-3A718B5AFBAE}">
    <text>7955520116 - Redirecionar para esse</text>
  </threadedComment>
  <threadedComment ref="J10" dT="2026-07-27T22:44:52.90" personId="{6564218A-E088-4662-9D46-DA31EA88AA31}" id="{D5B2FBD9-7E55-4394-8714-701EBCC35144}">
    <text>Tanque de Caseara e o Controle do Estoque Sono</text>
  </threadedComment>
  <threadedComment ref="H11" dT="2026-08-12T18:25:28.95" personId="{6564218A-E088-4662-9D46-DA31EA88AA31}" id="{B1C788A8-7A79-44EE-A54B-CBC5AFDBD9F4}">
    <text>21/08 Se a DB Machado for pro Sul</text>
  </threadedComment>
  <threadedComment ref="H16" dT="2026-08-12T18:24:52.75" personId="{6564218A-E088-4662-9D46-DA31EA88AA31}" id="{92D052E1-98AB-486D-9A79-11DA2A2DACF3}">
    <text>22/08 Se a DB Machado for pro Sul</text>
  </threadedComment>
  <threadedComment ref="A26" dT="2026-07-22T13:30:56.19" personId="{6564218A-E088-4662-9D46-DA31EA88AA31}" id="{E8206474-6697-48E9-A31E-69138945C5CA}">
    <text xml:space="preserve">Foi redirecionado para priorizar o RL 7933726256 </text>
  </threadedComment>
  <threadedComment ref="A34" dT="2026-07-27T21:55:01.48" personId="{2CA1750F-6264-42FE-A0B9-B3DEE7C271DA}" id="{0041C59C-F9F9-4C83-993D-D122C9399368}">
    <text>Equipamento alinhado com o Jean para colocar os cabos compatibilizadores</text>
  </threadedComment>
  <threadedComment ref="A39" dT="2026-07-22T14:01:27.87" personId="{6564218A-E088-4662-9D46-DA31EA88AA31}" id="{72850F46-6F99-4AE9-AA9C-0D35C56ACC60}">
    <text>Joelson vai mandar uma equipe de campo ver</text>
  </threadedComment>
  <threadedComment ref="G39" dT="2026-07-28T14:42:16.96" personId="{6564218A-E088-4662-9D46-DA31EA88AA31}" id="{390B3EE9-C964-4BBF-8A8C-EF83FE61AE2A}">
    <text>Conversar Com o Sandro Para Podermos mandar o e-mail para o Juridico</text>
  </threadedComment>
  <threadedComment ref="G44" dT="2026-08-12T18:13:28.63" personId="{6564218A-E088-4662-9D46-DA31EA88AA31}" id="{824C3832-6F9A-4886-A556-58C556E545B8}">
    <text>Ocorreu simultaneo era caso de furto</text>
  </threadedComment>
  <threadedComment ref="A56" dT="2026-07-27T22:28:43.17" personId="{2CA1750F-6264-42FE-A0B9-B3DEE7C271DA}" id="{9EFFF02E-E71A-4EAA-B7B0-BDEC52ED4DEF}">
    <text>Nota baixada erroneamente pelo DMSL, aguardando retorno da Lorrane.</text>
  </threadedComment>
  <threadedComment ref="A67" dT="2026-07-14T21:25:38.69" personId="{2CA1750F-6264-42FE-A0B9-B3DEE7C271DA}" id="{08741313-3F60-4F2B-856E-7E8FFB04A879}">
    <text>Verificar com a PROT sobre os ajustes, equipamento já em operação.</text>
  </threadedComment>
  <threadedComment ref="A71" dT="2026-07-14T21:28:50.48" personId="{2CA1750F-6264-42FE-A0B9-B3DEE7C271DA}" id="{A5CAD942-B372-4B9A-8A2D-F37251F74BF3}">
    <text>Equipamento em operação, necessário confirmar com o COCM Palmas</text>
  </threadedComment>
  <threadedComment ref="A74" dT="2026-07-14T21:45:49.00" personId="{2CA1750F-6264-42FE-A0B9-B3DEE7C271DA}" id="{272641DD-DFB7-4672-8214-D86F06479939}">
    <text>Linha viva substituiu a CH danificada, confirmar com o Zenilson se esta em operação.</text>
  </threadedComment>
  <threadedComment ref="A79" dT="2026-07-27T23:03:21.41" personId="{2CA1750F-6264-42FE-A0B9-B3DEE7C271DA}" id="{6F55BA77-480E-40E4-B08D-D74D81B7284E}">
    <text>Equipamento fora de operação, baixada erroneamente pelo COCM.</text>
  </threadedComment>
  <threadedComment ref="A82" dT="2026-07-27T23:09:12.51" personId="{2CA1750F-6264-42FE-A0B9-B3DEE7C271DA}" id="{D0D64B82-4998-4C28-9AD4-CD7B13F39588}">
    <text>Confirmar informação de remanejamento inserida na SS.</text>
  </threadedComment>
  <threadedComment ref="A93" dT="2026-07-27T23:15:55.74" personId="{2CA1750F-6264-42FE-A0B9-B3DEE7C271DA}" id="{60FB343E-7068-4516-969E-F4791E8E04F1}">
    <text>Nota baixada erroneamente pelo DMSL, aguardando retorno da Lorrane.</text>
  </threadedComment>
  <threadedComment ref="A97" dT="2026-07-27T23:36:35.50" personId="{2CA1750F-6264-42FE-A0B9-B3DEE7C271DA}" id="{715334F1-1F6D-435D-BF76-109CE1206DB1}">
    <text>Equipamento não abre a tela de controle de sinais, Zenilson verificar.</text>
  </threadedComment>
  <threadedComment ref="A102" dT="2026-07-27T23:50:33.68" personId="{2CA1750F-6264-42FE-A0B9-B3DEE7C271DA}" id="{C907F8D6-B9B1-4147-8FED-064820BD0B3A}">
    <text>Equipamento não abre a tela de controle de sinais, Zenilson verificar.</text>
  </threadedComment>
  <threadedComment ref="A104" dT="2026-07-27T23:56:43.83" personId="{2CA1750F-6264-42FE-A0B9-B3DEE7C271DA}" id="{E94CBFE0-6B9E-4BC2-A75F-87CF5CC98DEC}">
    <text>Paramos aqui</text>
  </threadedComment>
  <threadedComment ref="G110" dT="2026-07-27T22:56:48.83" personId="{6564218A-E088-4662-9D46-DA31EA88AA31}" id="{87BE34AA-9A33-499D-A2AA-B55D8E797EF8}">
    <text>Tenho um Controle ou consigo reaproveitar o tanque em outro, dependendo da criticidade</text>
  </threadedComment>
</ThreadedComments>
</file>

<file path=xl/threadedComments/threadedComment3.xml><?xml version="1.0" encoding="utf-8"?>
<ThreadedComments xmlns="http://schemas.microsoft.com/office/spreadsheetml/2018/threadedcomments" xmlns:x="http://schemas.openxmlformats.org/spreadsheetml/2006/main">
  <threadedComment ref="B14" dT="2026-07-14T12:38:16.26" personId="{6564218A-E088-4662-9D46-DA31EA88AA31}" id="{DF772875-8A42-4BAA-AFB3-6FFE8C3AB7EB}">
    <text>02125725</text>
  </threadedComment>
  <threadedComment ref="B14" dT="2026-07-14T12:39:20.52" personId="{6564218A-E088-4662-9D46-DA31EA88AA31}" id="{CD896CBC-1525-436C-8026-C062672FC966}" parentId="{DF772875-8A42-4BAA-AFB3-6FFE8C3AB7EB}">
    <text>17/07/2026</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A2749-7BE0-4C81-B8F8-EE7E6B411119}">
  <dimension ref="A1:J10"/>
  <sheetViews>
    <sheetView workbookViewId="0">
      <selection activeCell="F13" sqref="F13"/>
    </sheetView>
  </sheetViews>
  <sheetFormatPr defaultRowHeight="15"/>
  <cols>
    <col min="1" max="1" width="12.85546875" bestFit="1" customWidth="1"/>
    <col min="2" max="2" width="15.140625" bestFit="1" customWidth="1"/>
    <col min="3" max="3" width="3" bestFit="1" customWidth="1"/>
    <col min="4" max="4" width="10.7109375" bestFit="1" customWidth="1"/>
    <col min="5" max="5" width="10.7109375" customWidth="1"/>
    <col min="6" max="6" width="25.7109375" customWidth="1"/>
    <col min="7" max="9" width="10.7109375" customWidth="1"/>
  </cols>
  <sheetData>
    <row r="1" spans="1:10">
      <c r="A1" s="13" t="s">
        <v>0</v>
      </c>
      <c r="B1" t="s">
        <v>1</v>
      </c>
      <c r="F1" s="56" t="s">
        <v>2</v>
      </c>
      <c r="G1" s="53" t="s">
        <v>3</v>
      </c>
      <c r="H1" s="53"/>
      <c r="I1" s="54" t="s">
        <v>4</v>
      </c>
    </row>
    <row r="2" spans="1:10">
      <c r="F2" s="57"/>
      <c r="G2" s="14" t="s">
        <v>5</v>
      </c>
      <c r="H2" s="19" t="s">
        <v>6</v>
      </c>
      <c r="I2" s="55"/>
      <c r="J2" s="20"/>
    </row>
    <row r="3" spans="1:10">
      <c r="A3" s="13" t="s">
        <v>7</v>
      </c>
      <c r="B3" s="13" t="s">
        <v>8</v>
      </c>
      <c r="F3" s="15" t="s">
        <v>9</v>
      </c>
      <c r="G3" s="23">
        <v>9</v>
      </c>
      <c r="H3" s="23">
        <v>2</v>
      </c>
      <c r="I3" s="23">
        <f>SUM(G3:H3)</f>
        <v>11</v>
      </c>
      <c r="J3" s="20"/>
    </row>
    <row r="4" spans="1:10">
      <c r="A4" s="13" t="s">
        <v>2</v>
      </c>
      <c r="B4" t="s">
        <v>10</v>
      </c>
      <c r="C4" t="s">
        <v>11</v>
      </c>
      <c r="D4" t="s">
        <v>12</v>
      </c>
      <c r="F4" s="16" t="s">
        <v>13</v>
      </c>
      <c r="G4" s="24">
        <v>9</v>
      </c>
      <c r="H4" s="24">
        <v>3</v>
      </c>
      <c r="I4" s="24">
        <f t="shared" ref="I4:I7" si="0">SUM(G4:H4)</f>
        <v>12</v>
      </c>
    </row>
    <row r="5" spans="1:10">
      <c r="A5" s="10" t="s">
        <v>9</v>
      </c>
      <c r="B5">
        <v>3</v>
      </c>
      <c r="C5">
        <v>11</v>
      </c>
      <c r="D5">
        <v>14</v>
      </c>
      <c r="F5" s="16" t="s">
        <v>14</v>
      </c>
      <c r="G5" s="25">
        <v>9</v>
      </c>
      <c r="H5" s="25">
        <v>4</v>
      </c>
      <c r="I5" s="25">
        <f t="shared" si="0"/>
        <v>13</v>
      </c>
    </row>
    <row r="6" spans="1:10">
      <c r="A6" s="10" t="s">
        <v>13</v>
      </c>
      <c r="B6">
        <v>3</v>
      </c>
      <c r="C6">
        <v>6</v>
      </c>
      <c r="D6">
        <v>9</v>
      </c>
      <c r="F6" s="16" t="s">
        <v>15</v>
      </c>
      <c r="G6" s="25">
        <v>9</v>
      </c>
      <c r="H6" s="25">
        <v>5</v>
      </c>
      <c r="I6" s="25">
        <f t="shared" si="0"/>
        <v>14</v>
      </c>
    </row>
    <row r="7" spans="1:10">
      <c r="A7" s="10" t="s">
        <v>14</v>
      </c>
      <c r="B7">
        <v>5</v>
      </c>
      <c r="C7">
        <v>9</v>
      </c>
      <c r="D7">
        <v>14</v>
      </c>
      <c r="F7" s="16" t="s">
        <v>16</v>
      </c>
      <c r="G7" s="26">
        <v>28</v>
      </c>
      <c r="H7" s="26">
        <v>9</v>
      </c>
      <c r="I7" s="26">
        <f t="shared" si="0"/>
        <v>37</v>
      </c>
    </row>
    <row r="8" spans="1:10">
      <c r="A8" s="10" t="s">
        <v>15</v>
      </c>
      <c r="B8">
        <v>4</v>
      </c>
      <c r="C8">
        <v>11</v>
      </c>
      <c r="D8">
        <v>15</v>
      </c>
      <c r="F8" s="18" t="s">
        <v>12</v>
      </c>
      <c r="G8" s="17">
        <v>64</v>
      </c>
      <c r="H8" s="21">
        <v>23</v>
      </c>
      <c r="I8" s="22">
        <f>SUM(I3:I7)</f>
        <v>87</v>
      </c>
    </row>
    <row r="9" spans="1:10">
      <c r="A9" s="10" t="s">
        <v>16</v>
      </c>
      <c r="C9">
        <v>3</v>
      </c>
      <c r="D9">
        <v>3</v>
      </c>
      <c r="J9" s="20"/>
    </row>
    <row r="10" spans="1:10">
      <c r="A10" s="10" t="s">
        <v>12</v>
      </c>
      <c r="B10">
        <v>15</v>
      </c>
      <c r="C10">
        <v>40</v>
      </c>
      <c r="D10">
        <v>55</v>
      </c>
    </row>
  </sheetData>
  <mergeCells count="3">
    <mergeCell ref="G1:H1"/>
    <mergeCell ref="I1:I2"/>
    <mergeCell ref="F1:F2"/>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B1DD6-9784-4ED5-893C-BEFA26B59293}">
  <dimension ref="A1:W94"/>
  <sheetViews>
    <sheetView topLeftCell="A94" workbookViewId="0">
      <selection activeCell="D2" sqref="D2"/>
    </sheetView>
  </sheetViews>
  <sheetFormatPr defaultRowHeight="15"/>
  <cols>
    <col min="1" max="1" width="12.7109375" style="4" bestFit="1" customWidth="1"/>
    <col min="2" max="2" width="21.5703125" style="4" bestFit="1" customWidth="1"/>
    <col min="3" max="3" width="16.28515625" style="4" bestFit="1" customWidth="1"/>
    <col min="4" max="4" width="20.7109375" style="4" bestFit="1" customWidth="1"/>
    <col min="5" max="5" width="7.42578125" style="4" bestFit="1" customWidth="1"/>
    <col min="6" max="6" width="19.7109375" style="4" bestFit="1" customWidth="1"/>
    <col min="7" max="7" width="13.85546875" style="4" bestFit="1" customWidth="1"/>
    <col min="8" max="8" width="29.140625" style="4" bestFit="1" customWidth="1"/>
    <col min="9" max="9" width="25.140625" style="4" bestFit="1" customWidth="1"/>
    <col min="10" max="10" width="14.7109375" style="4" bestFit="1" customWidth="1"/>
    <col min="11" max="11" width="18.85546875" style="10" bestFit="1" customWidth="1"/>
    <col min="12" max="12" width="81.140625" style="4" bestFit="1" customWidth="1"/>
    <col min="13" max="20" width="15" style="4" bestFit="1" customWidth="1"/>
    <col min="21" max="21" width="15.28515625" style="4" bestFit="1" customWidth="1"/>
    <col min="22" max="22" width="15.140625" style="4" bestFit="1" customWidth="1"/>
    <col min="23" max="23" width="81.140625" style="4" customWidth="1"/>
    <col min="24" max="16384" width="9.140625" style="4"/>
  </cols>
  <sheetData>
    <row r="1" spans="1:23" s="5" customFormat="1">
      <c r="A1" s="5" t="s">
        <v>17</v>
      </c>
      <c r="B1" s="5" t="s">
        <v>18</v>
      </c>
      <c r="C1" s="5" t="s">
        <v>0</v>
      </c>
      <c r="D1" s="5" t="s">
        <v>19</v>
      </c>
      <c r="E1" t="s">
        <v>20</v>
      </c>
      <c r="F1" s="5" t="s">
        <v>21</v>
      </c>
      <c r="G1" s="5" t="s">
        <v>22</v>
      </c>
      <c r="H1" s="5" t="s">
        <v>23</v>
      </c>
      <c r="I1" s="5" t="s">
        <v>24</v>
      </c>
      <c r="J1" s="5" t="s">
        <v>25</v>
      </c>
      <c r="K1" s="5" t="s">
        <v>26</v>
      </c>
      <c r="L1" s="5" t="s">
        <v>27</v>
      </c>
      <c r="M1" s="5" t="s">
        <v>28</v>
      </c>
      <c r="N1" s="5" t="s">
        <v>29</v>
      </c>
      <c r="O1" s="5" t="s">
        <v>30</v>
      </c>
      <c r="P1" s="5" t="s">
        <v>31</v>
      </c>
      <c r="Q1" s="5" t="s">
        <v>32</v>
      </c>
      <c r="R1" s="5" t="s">
        <v>33</v>
      </c>
      <c r="S1" s="5" t="s">
        <v>34</v>
      </c>
      <c r="T1" s="5" t="s">
        <v>35</v>
      </c>
      <c r="U1" s="5" t="s">
        <v>36</v>
      </c>
      <c r="V1" s="5" t="s">
        <v>2</v>
      </c>
      <c r="W1" s="5" t="s">
        <v>37</v>
      </c>
    </row>
    <row r="2" spans="1:23" ht="150">
      <c r="A2" s="4">
        <v>2026</v>
      </c>
      <c r="B2" s="4" t="s">
        <v>38</v>
      </c>
      <c r="C2" s="4" t="s">
        <v>39</v>
      </c>
      <c r="D2" s="4">
        <v>5854566043</v>
      </c>
      <c r="E2" t="s">
        <v>10</v>
      </c>
      <c r="F2" s="9">
        <v>46225</v>
      </c>
      <c r="G2" s="4">
        <v>43</v>
      </c>
      <c r="H2" s="4" t="s">
        <v>40</v>
      </c>
      <c r="I2" s="4" t="s">
        <v>41</v>
      </c>
      <c r="J2" s="4" t="s">
        <v>42</v>
      </c>
      <c r="K2" s="4" t="s">
        <v>43</v>
      </c>
      <c r="L2" s="42" t="s">
        <v>44</v>
      </c>
      <c r="M2" s="4">
        <v>40</v>
      </c>
      <c r="N2" s="4">
        <v>20</v>
      </c>
      <c r="O2" s="4">
        <v>20</v>
      </c>
      <c r="P2" s="4">
        <v>10</v>
      </c>
      <c r="Q2" s="4">
        <v>20</v>
      </c>
      <c r="R2" s="4" t="s">
        <v>45</v>
      </c>
      <c r="S2" s="4" t="s">
        <v>45</v>
      </c>
      <c r="T2" s="4" t="s">
        <v>45</v>
      </c>
      <c r="U2" s="4">
        <v>110</v>
      </c>
      <c r="V2" s="4" t="s">
        <v>9</v>
      </c>
      <c r="W2" s="4" t="s">
        <v>46</v>
      </c>
    </row>
    <row r="3" spans="1:23" ht="270">
      <c r="A3" s="4">
        <v>2026</v>
      </c>
      <c r="B3" s="4" t="s">
        <v>47</v>
      </c>
      <c r="C3" s="4" t="s">
        <v>48</v>
      </c>
      <c r="D3" s="4">
        <v>5800859011</v>
      </c>
      <c r="E3" t="s">
        <v>10</v>
      </c>
      <c r="F3" s="9">
        <v>46219</v>
      </c>
      <c r="G3" s="4">
        <v>11</v>
      </c>
      <c r="H3" s="4" t="s">
        <v>49</v>
      </c>
      <c r="I3" s="4" t="s">
        <v>50</v>
      </c>
      <c r="J3" s="4" t="s">
        <v>51</v>
      </c>
      <c r="K3" s="4" t="s">
        <v>52</v>
      </c>
      <c r="L3" s="42" t="s">
        <v>53</v>
      </c>
      <c r="M3" s="4">
        <v>40</v>
      </c>
      <c r="N3" s="4">
        <v>20</v>
      </c>
      <c r="O3" s="4">
        <v>20</v>
      </c>
      <c r="P3" s="4">
        <v>10</v>
      </c>
      <c r="Q3" s="4">
        <v>20</v>
      </c>
      <c r="R3" s="4" t="s">
        <v>45</v>
      </c>
      <c r="S3" s="4" t="s">
        <v>45</v>
      </c>
      <c r="T3" s="4" t="s">
        <v>45</v>
      </c>
      <c r="U3" s="4">
        <v>110</v>
      </c>
      <c r="V3" s="4" t="s">
        <v>9</v>
      </c>
      <c r="W3" s="4" t="s">
        <v>54</v>
      </c>
    </row>
    <row r="4" spans="1:23" ht="30">
      <c r="A4" s="4">
        <v>2026</v>
      </c>
      <c r="B4" s="4" t="s">
        <v>55</v>
      </c>
      <c r="C4" s="4" t="s">
        <v>56</v>
      </c>
      <c r="D4" s="4">
        <v>7923673004</v>
      </c>
      <c r="E4" t="s">
        <v>11</v>
      </c>
      <c r="F4" s="9">
        <v>46210</v>
      </c>
      <c r="G4" s="4">
        <v>4</v>
      </c>
      <c r="H4" s="4" t="s">
        <v>57</v>
      </c>
      <c r="I4" s="4" t="s">
        <v>57</v>
      </c>
      <c r="J4" s="4" t="s">
        <v>51</v>
      </c>
      <c r="K4" s="4" t="s">
        <v>58</v>
      </c>
      <c r="L4" s="42" t="s">
        <v>59</v>
      </c>
      <c r="M4" s="4">
        <v>15</v>
      </c>
      <c r="N4" s="4">
        <v>20</v>
      </c>
      <c r="O4" s="4">
        <v>15</v>
      </c>
      <c r="P4" s="4">
        <v>15</v>
      </c>
      <c r="Q4" s="4">
        <v>15</v>
      </c>
      <c r="R4" s="4">
        <v>10</v>
      </c>
      <c r="S4" s="4">
        <v>0</v>
      </c>
      <c r="T4" s="4">
        <v>15</v>
      </c>
      <c r="U4" s="4">
        <v>105</v>
      </c>
      <c r="V4" s="4" t="s">
        <v>9</v>
      </c>
      <c r="W4" s="4" t="s">
        <v>60</v>
      </c>
    </row>
    <row r="5" spans="1:23" ht="75">
      <c r="A5" s="4">
        <v>2026</v>
      </c>
      <c r="B5" s="4" t="s">
        <v>61</v>
      </c>
      <c r="C5" s="4" t="s">
        <v>56</v>
      </c>
      <c r="D5" s="4">
        <v>7931608059</v>
      </c>
      <c r="E5" t="s">
        <v>11</v>
      </c>
      <c r="F5" s="9">
        <v>46077</v>
      </c>
      <c r="G5" s="4">
        <v>59</v>
      </c>
      <c r="H5" s="4" t="s">
        <v>62</v>
      </c>
      <c r="I5" s="4" t="s">
        <v>62</v>
      </c>
      <c r="J5" s="4" t="s">
        <v>42</v>
      </c>
      <c r="K5" s="4" t="s">
        <v>63</v>
      </c>
      <c r="L5" s="42" t="s">
        <v>64</v>
      </c>
      <c r="M5" s="4">
        <v>15</v>
      </c>
      <c r="N5" s="4">
        <v>20</v>
      </c>
      <c r="O5" s="4">
        <v>15</v>
      </c>
      <c r="P5" s="4">
        <v>15</v>
      </c>
      <c r="Q5" s="4">
        <v>15</v>
      </c>
      <c r="R5" s="4">
        <v>10</v>
      </c>
      <c r="S5" s="4">
        <v>0</v>
      </c>
      <c r="T5" s="4">
        <v>15</v>
      </c>
      <c r="U5" s="4">
        <v>105</v>
      </c>
      <c r="V5" s="4" t="s">
        <v>9</v>
      </c>
      <c r="W5" s="4" t="s">
        <v>65</v>
      </c>
    </row>
    <row r="6" spans="1:23" ht="255">
      <c r="A6" s="4">
        <v>2026</v>
      </c>
      <c r="B6" s="4" t="s">
        <v>66</v>
      </c>
      <c r="C6" s="4" t="s">
        <v>67</v>
      </c>
      <c r="D6" s="4">
        <v>7931610122</v>
      </c>
      <c r="E6" t="s">
        <v>11</v>
      </c>
      <c r="F6" s="9">
        <v>46225</v>
      </c>
      <c r="G6" s="4">
        <v>122</v>
      </c>
      <c r="H6" s="4" t="s">
        <v>68</v>
      </c>
      <c r="I6" s="4" t="s">
        <v>68</v>
      </c>
      <c r="J6" s="4" t="s">
        <v>42</v>
      </c>
      <c r="K6" s="4" t="s">
        <v>69</v>
      </c>
      <c r="L6" s="42" t="s">
        <v>70</v>
      </c>
      <c r="M6" s="4">
        <v>15</v>
      </c>
      <c r="N6" s="4">
        <v>20</v>
      </c>
      <c r="O6" s="4">
        <v>15</v>
      </c>
      <c r="P6" s="4">
        <v>15</v>
      </c>
      <c r="Q6" s="4">
        <v>15</v>
      </c>
      <c r="R6" s="4">
        <v>10</v>
      </c>
      <c r="S6" s="4">
        <v>0</v>
      </c>
      <c r="T6" s="4">
        <v>15</v>
      </c>
      <c r="U6" s="4">
        <v>105</v>
      </c>
      <c r="V6" s="4" t="s">
        <v>9</v>
      </c>
      <c r="W6" s="4" t="s">
        <v>71</v>
      </c>
    </row>
    <row r="7" spans="1:23" ht="195">
      <c r="A7" s="4">
        <v>2026</v>
      </c>
      <c r="B7" s="4" t="s">
        <v>72</v>
      </c>
      <c r="C7" s="4" t="s">
        <v>73</v>
      </c>
      <c r="D7" s="4">
        <v>5856070091</v>
      </c>
      <c r="E7" t="s">
        <v>10</v>
      </c>
      <c r="F7" s="9">
        <v>46230</v>
      </c>
      <c r="G7" s="4">
        <v>91</v>
      </c>
      <c r="H7" s="4" t="s">
        <v>74</v>
      </c>
      <c r="I7" s="4" t="s">
        <v>75</v>
      </c>
      <c r="J7" s="4" t="s">
        <v>76</v>
      </c>
      <c r="K7" s="4" t="s">
        <v>77</v>
      </c>
      <c r="L7" s="42" t="s">
        <v>78</v>
      </c>
      <c r="M7" s="4">
        <v>40</v>
      </c>
      <c r="N7" s="4">
        <v>20</v>
      </c>
      <c r="O7" s="4">
        <v>20</v>
      </c>
      <c r="P7" s="4">
        <v>20</v>
      </c>
      <c r="Q7" s="4">
        <v>0</v>
      </c>
      <c r="R7" s="4" t="s">
        <v>45</v>
      </c>
      <c r="S7" s="4" t="s">
        <v>45</v>
      </c>
      <c r="T7" s="4" t="s">
        <v>45</v>
      </c>
      <c r="U7" s="4">
        <v>100</v>
      </c>
      <c r="V7" s="4" t="s">
        <v>9</v>
      </c>
      <c r="W7" s="4" t="s">
        <v>79</v>
      </c>
    </row>
    <row r="8" spans="1:23" ht="75">
      <c r="A8" s="4">
        <v>2026</v>
      </c>
      <c r="B8" s="4" t="s">
        <v>80</v>
      </c>
      <c r="C8" s="4" t="s">
        <v>56</v>
      </c>
      <c r="D8" s="4">
        <v>7947203070</v>
      </c>
      <c r="E8" t="s">
        <v>11</v>
      </c>
      <c r="F8" s="9">
        <v>46211</v>
      </c>
      <c r="G8" s="4">
        <v>70</v>
      </c>
      <c r="H8" s="4" t="s">
        <v>81</v>
      </c>
      <c r="I8" s="4" t="s">
        <v>62</v>
      </c>
      <c r="J8" s="4" t="s">
        <v>42</v>
      </c>
      <c r="K8" s="4" t="s">
        <v>82</v>
      </c>
      <c r="L8" s="42" t="s">
        <v>83</v>
      </c>
      <c r="M8" s="4">
        <v>10</v>
      </c>
      <c r="N8" s="4">
        <v>20</v>
      </c>
      <c r="O8" s="4">
        <v>15</v>
      </c>
      <c r="P8" s="4">
        <v>15</v>
      </c>
      <c r="Q8" s="4">
        <v>15</v>
      </c>
      <c r="R8" s="4">
        <v>10</v>
      </c>
      <c r="S8" s="4">
        <v>0</v>
      </c>
      <c r="T8" s="4">
        <v>15</v>
      </c>
      <c r="U8" s="4">
        <v>100</v>
      </c>
      <c r="V8" s="4" t="s">
        <v>9</v>
      </c>
      <c r="W8" s="4" t="s">
        <v>84</v>
      </c>
    </row>
    <row r="9" spans="1:23" ht="75">
      <c r="A9" s="4">
        <v>2026</v>
      </c>
      <c r="B9" s="4" t="s">
        <v>85</v>
      </c>
      <c r="C9" s="4" t="s">
        <v>73</v>
      </c>
      <c r="D9" s="4">
        <v>7908705049</v>
      </c>
      <c r="E9" t="s">
        <v>11</v>
      </c>
      <c r="F9" s="9">
        <v>46209</v>
      </c>
      <c r="G9" s="4">
        <v>49</v>
      </c>
      <c r="H9" s="4" t="s">
        <v>86</v>
      </c>
      <c r="I9" s="4" t="s">
        <v>75</v>
      </c>
      <c r="J9" s="4" t="s">
        <v>76</v>
      </c>
      <c r="K9" s="4" t="s">
        <v>87</v>
      </c>
      <c r="L9" s="42" t="s">
        <v>88</v>
      </c>
      <c r="M9" s="4">
        <v>15</v>
      </c>
      <c r="N9" s="4">
        <v>20</v>
      </c>
      <c r="O9" s="4">
        <v>5</v>
      </c>
      <c r="P9" s="4">
        <v>15</v>
      </c>
      <c r="Q9" s="4">
        <v>15</v>
      </c>
      <c r="R9" s="4">
        <v>0</v>
      </c>
      <c r="S9" s="4">
        <v>10</v>
      </c>
      <c r="T9" s="4">
        <v>15</v>
      </c>
      <c r="U9" s="4">
        <v>95</v>
      </c>
      <c r="V9" s="4" t="s">
        <v>9</v>
      </c>
      <c r="W9" s="4" t="s">
        <v>89</v>
      </c>
    </row>
    <row r="10" spans="1:23" ht="150">
      <c r="A10" s="4">
        <v>2026</v>
      </c>
      <c r="B10" s="4" t="s">
        <v>90</v>
      </c>
      <c r="C10" s="4" t="s">
        <v>56</v>
      </c>
      <c r="D10" s="4">
        <v>7925744087</v>
      </c>
      <c r="E10" t="s">
        <v>11</v>
      </c>
      <c r="F10" s="9">
        <v>46111</v>
      </c>
      <c r="G10" s="4">
        <v>87</v>
      </c>
      <c r="H10" s="4" t="s">
        <v>91</v>
      </c>
      <c r="I10" s="4" t="s">
        <v>50</v>
      </c>
      <c r="J10" s="4" t="s">
        <v>51</v>
      </c>
      <c r="K10" s="4" t="s">
        <v>92</v>
      </c>
      <c r="L10" s="42" t="s">
        <v>93</v>
      </c>
      <c r="M10" s="4">
        <v>15</v>
      </c>
      <c r="N10" s="4">
        <v>20</v>
      </c>
      <c r="O10" s="4">
        <v>5</v>
      </c>
      <c r="P10" s="4">
        <v>15</v>
      </c>
      <c r="Q10" s="4">
        <v>15</v>
      </c>
      <c r="R10" s="4">
        <v>10</v>
      </c>
      <c r="S10" s="4">
        <v>0</v>
      </c>
      <c r="T10" s="4">
        <v>15</v>
      </c>
      <c r="U10" s="4">
        <v>95</v>
      </c>
      <c r="V10" s="4" t="s">
        <v>9</v>
      </c>
      <c r="W10" s="4" t="s">
        <v>94</v>
      </c>
    </row>
    <row r="11" spans="1:23" ht="150">
      <c r="A11" s="4">
        <v>2026</v>
      </c>
      <c r="B11" s="4" t="s">
        <v>95</v>
      </c>
      <c r="C11" s="4" t="s">
        <v>96</v>
      </c>
      <c r="D11" s="4">
        <v>7900117013</v>
      </c>
      <c r="E11" t="s">
        <v>11</v>
      </c>
      <c r="F11" s="9">
        <v>46224</v>
      </c>
      <c r="G11" s="4">
        <v>13</v>
      </c>
      <c r="H11" s="4" t="s">
        <v>97</v>
      </c>
      <c r="I11" s="4" t="s">
        <v>97</v>
      </c>
      <c r="J11" s="4" t="s">
        <v>42</v>
      </c>
      <c r="K11" s="4" t="s">
        <v>98</v>
      </c>
      <c r="L11" s="42" t="s">
        <v>99</v>
      </c>
      <c r="M11" s="4">
        <v>15</v>
      </c>
      <c r="N11" s="4">
        <v>20</v>
      </c>
      <c r="O11" s="4">
        <v>15</v>
      </c>
      <c r="P11" s="4">
        <v>15</v>
      </c>
      <c r="Q11" s="4">
        <v>15</v>
      </c>
      <c r="R11" s="4">
        <v>0</v>
      </c>
      <c r="S11" s="4">
        <v>0</v>
      </c>
      <c r="T11" s="4">
        <v>15</v>
      </c>
      <c r="U11" s="4">
        <v>95</v>
      </c>
      <c r="V11" s="4" t="s">
        <v>9</v>
      </c>
      <c r="W11" s="4" t="s">
        <v>100</v>
      </c>
    </row>
    <row r="12" spans="1:23" ht="135">
      <c r="A12" s="4">
        <v>2026</v>
      </c>
      <c r="B12" s="4" t="s">
        <v>101</v>
      </c>
      <c r="C12" s="4" t="s">
        <v>56</v>
      </c>
      <c r="D12" s="4">
        <v>7929376022</v>
      </c>
      <c r="E12" t="s">
        <v>11</v>
      </c>
      <c r="F12" s="9">
        <v>46203</v>
      </c>
      <c r="G12" s="4">
        <v>22</v>
      </c>
      <c r="H12" s="4" t="s">
        <v>102</v>
      </c>
      <c r="I12" s="4" t="s">
        <v>57</v>
      </c>
      <c r="J12" s="4" t="s">
        <v>51</v>
      </c>
      <c r="K12" s="4" t="s">
        <v>103</v>
      </c>
      <c r="L12" s="42" t="s">
        <v>104</v>
      </c>
      <c r="M12" s="4">
        <v>15</v>
      </c>
      <c r="N12" s="4">
        <v>20</v>
      </c>
      <c r="O12" s="4">
        <v>5</v>
      </c>
      <c r="P12" s="4">
        <v>15</v>
      </c>
      <c r="Q12" s="4">
        <v>15</v>
      </c>
      <c r="R12" s="4">
        <v>10</v>
      </c>
      <c r="S12" s="4">
        <v>0</v>
      </c>
      <c r="T12" s="4">
        <v>15</v>
      </c>
      <c r="U12" s="4">
        <v>95</v>
      </c>
      <c r="V12" s="4" t="s">
        <v>9</v>
      </c>
      <c r="W12" s="4" t="s">
        <v>105</v>
      </c>
    </row>
    <row r="13" spans="1:23" ht="195">
      <c r="A13" s="4">
        <v>2026</v>
      </c>
      <c r="B13" s="4" t="s">
        <v>106</v>
      </c>
      <c r="C13" s="4" t="s">
        <v>96</v>
      </c>
      <c r="D13" s="4">
        <v>7933726256</v>
      </c>
      <c r="E13" t="s">
        <v>11</v>
      </c>
      <c r="F13" s="9">
        <v>46212</v>
      </c>
      <c r="G13" s="4">
        <v>256</v>
      </c>
      <c r="H13" s="4" t="s">
        <v>107</v>
      </c>
      <c r="I13" s="4" t="s">
        <v>108</v>
      </c>
      <c r="J13" s="4" t="s">
        <v>42</v>
      </c>
      <c r="K13" s="4" t="s">
        <v>109</v>
      </c>
      <c r="L13" s="42" t="s">
        <v>110</v>
      </c>
      <c r="M13" s="4">
        <v>15</v>
      </c>
      <c r="N13" s="4">
        <v>10</v>
      </c>
      <c r="O13" s="4">
        <v>15</v>
      </c>
      <c r="P13" s="4">
        <v>15</v>
      </c>
      <c r="Q13" s="4">
        <v>15</v>
      </c>
      <c r="R13" s="4">
        <v>10</v>
      </c>
      <c r="S13" s="4">
        <v>0</v>
      </c>
      <c r="T13" s="4">
        <v>15</v>
      </c>
      <c r="U13" s="4">
        <v>95</v>
      </c>
      <c r="V13" s="4" t="s">
        <v>9</v>
      </c>
      <c r="W13" s="4" t="s">
        <v>111</v>
      </c>
    </row>
    <row r="14" spans="1:23" ht="195">
      <c r="A14" s="4">
        <v>2026</v>
      </c>
      <c r="B14" s="4" t="s">
        <v>112</v>
      </c>
      <c r="C14" s="4" t="s">
        <v>67</v>
      </c>
      <c r="D14" s="4">
        <v>7933766059</v>
      </c>
      <c r="E14" t="s">
        <v>11</v>
      </c>
      <c r="F14" s="9">
        <v>46225</v>
      </c>
      <c r="G14" s="4">
        <v>59</v>
      </c>
      <c r="H14" s="4" t="s">
        <v>62</v>
      </c>
      <c r="I14" s="4" t="s">
        <v>62</v>
      </c>
      <c r="J14" s="4" t="s">
        <v>42</v>
      </c>
      <c r="K14" s="4" t="s">
        <v>113</v>
      </c>
      <c r="L14" s="42" t="s">
        <v>114</v>
      </c>
      <c r="M14" s="4">
        <v>15</v>
      </c>
      <c r="N14" s="4">
        <v>20</v>
      </c>
      <c r="O14" s="4">
        <v>5</v>
      </c>
      <c r="P14" s="4">
        <v>15</v>
      </c>
      <c r="Q14" s="4">
        <v>15</v>
      </c>
      <c r="R14" s="4">
        <v>0</v>
      </c>
      <c r="S14" s="4">
        <v>10</v>
      </c>
      <c r="T14" s="4">
        <v>15</v>
      </c>
      <c r="U14" s="4">
        <v>95</v>
      </c>
      <c r="V14" s="4" t="s">
        <v>9</v>
      </c>
      <c r="W14" s="4" t="s">
        <v>115</v>
      </c>
    </row>
    <row r="15" spans="1:23" ht="180">
      <c r="A15" s="4">
        <v>2026</v>
      </c>
      <c r="B15" s="4" t="s">
        <v>116</v>
      </c>
      <c r="C15" s="4" t="s">
        <v>117</v>
      </c>
      <c r="D15" s="4">
        <v>7900594026</v>
      </c>
      <c r="E15" t="s">
        <v>11</v>
      </c>
      <c r="F15" s="9">
        <v>46219</v>
      </c>
      <c r="G15" s="4">
        <v>26</v>
      </c>
      <c r="H15" s="4" t="s">
        <v>108</v>
      </c>
      <c r="I15" s="4" t="s">
        <v>108</v>
      </c>
      <c r="J15" s="4" t="s">
        <v>42</v>
      </c>
      <c r="K15" s="4" t="s">
        <v>109</v>
      </c>
      <c r="L15" s="42" t="s">
        <v>118</v>
      </c>
      <c r="M15" s="4">
        <v>15</v>
      </c>
      <c r="N15" s="4">
        <v>20</v>
      </c>
      <c r="O15" s="4">
        <v>15</v>
      </c>
      <c r="P15" s="4">
        <v>15</v>
      </c>
      <c r="Q15" s="4">
        <v>15</v>
      </c>
      <c r="R15" s="4">
        <v>0</v>
      </c>
      <c r="S15" s="4">
        <v>0</v>
      </c>
      <c r="T15" s="4">
        <v>15</v>
      </c>
      <c r="U15" s="4">
        <v>95</v>
      </c>
      <c r="V15" s="4" t="s">
        <v>9</v>
      </c>
      <c r="W15" s="4" t="s">
        <v>119</v>
      </c>
    </row>
    <row r="16" spans="1:23" ht="120">
      <c r="A16" s="4">
        <v>2026</v>
      </c>
      <c r="B16" s="4" t="s">
        <v>120</v>
      </c>
      <c r="C16" s="4" t="s">
        <v>56</v>
      </c>
      <c r="D16" s="4">
        <v>7927413001</v>
      </c>
      <c r="E16" t="s">
        <v>11</v>
      </c>
      <c r="F16" s="9">
        <v>46216</v>
      </c>
      <c r="G16" s="4">
        <v>1</v>
      </c>
      <c r="H16" s="4" t="s">
        <v>41</v>
      </c>
      <c r="I16" s="4" t="s">
        <v>41</v>
      </c>
      <c r="J16" s="4" t="s">
        <v>42</v>
      </c>
      <c r="K16" s="4" t="s">
        <v>121</v>
      </c>
      <c r="L16" s="42" t="s">
        <v>122</v>
      </c>
      <c r="M16" s="4">
        <v>15</v>
      </c>
      <c r="N16" s="4">
        <v>5</v>
      </c>
      <c r="O16" s="4">
        <v>15</v>
      </c>
      <c r="P16" s="4">
        <v>15</v>
      </c>
      <c r="Q16" s="4">
        <v>15</v>
      </c>
      <c r="R16" s="4">
        <v>10</v>
      </c>
      <c r="S16" s="4">
        <v>0</v>
      </c>
      <c r="T16" s="4">
        <v>15</v>
      </c>
      <c r="U16" s="4">
        <v>90</v>
      </c>
      <c r="V16" s="4" t="s">
        <v>9</v>
      </c>
      <c r="W16" s="4" t="s">
        <v>123</v>
      </c>
    </row>
    <row r="17" spans="1:23" ht="120">
      <c r="A17" s="4">
        <v>2026</v>
      </c>
      <c r="B17" s="4" t="s">
        <v>124</v>
      </c>
      <c r="C17" s="4" t="s">
        <v>125</v>
      </c>
      <c r="D17" s="4">
        <v>7908686014</v>
      </c>
      <c r="E17" t="s">
        <v>11</v>
      </c>
      <c r="F17" s="9">
        <v>46213</v>
      </c>
      <c r="G17" s="4">
        <v>14</v>
      </c>
      <c r="H17" s="4" t="s">
        <v>126</v>
      </c>
      <c r="I17" s="4" t="s">
        <v>97</v>
      </c>
      <c r="J17" s="4" t="s">
        <v>42</v>
      </c>
      <c r="K17" s="4" t="s">
        <v>127</v>
      </c>
      <c r="L17" s="42" t="s">
        <v>128</v>
      </c>
      <c r="M17" s="4">
        <v>15</v>
      </c>
      <c r="N17" s="4">
        <v>20</v>
      </c>
      <c r="O17" s="4">
        <v>0</v>
      </c>
      <c r="P17" s="4">
        <v>15</v>
      </c>
      <c r="Q17" s="4">
        <v>15</v>
      </c>
      <c r="R17" s="4">
        <v>10</v>
      </c>
      <c r="S17" s="4">
        <v>0</v>
      </c>
      <c r="T17" s="4">
        <v>15</v>
      </c>
      <c r="U17" s="4">
        <v>90</v>
      </c>
      <c r="V17" s="4" t="s">
        <v>9</v>
      </c>
      <c r="W17" s="4" t="s">
        <v>129</v>
      </c>
    </row>
    <row r="18" spans="1:23" ht="30">
      <c r="A18" s="4">
        <v>2026</v>
      </c>
      <c r="B18" s="4" t="s">
        <v>130</v>
      </c>
      <c r="C18" s="4" t="s">
        <v>67</v>
      </c>
      <c r="D18" s="4">
        <v>7943790134</v>
      </c>
      <c r="E18" t="s">
        <v>11</v>
      </c>
      <c r="F18" s="9">
        <v>46183</v>
      </c>
      <c r="G18" s="4">
        <v>134</v>
      </c>
      <c r="H18" s="4" t="s">
        <v>131</v>
      </c>
      <c r="I18" s="4" t="s">
        <v>132</v>
      </c>
      <c r="J18" s="4" t="s">
        <v>51</v>
      </c>
      <c r="K18" s="4" t="s">
        <v>133</v>
      </c>
      <c r="L18" s="42" t="s">
        <v>134</v>
      </c>
      <c r="M18" s="4">
        <v>15</v>
      </c>
      <c r="N18" s="4">
        <v>10</v>
      </c>
      <c r="O18" s="4">
        <v>5</v>
      </c>
      <c r="P18" s="4">
        <v>15</v>
      </c>
      <c r="Q18" s="4">
        <v>15</v>
      </c>
      <c r="R18" s="4">
        <v>10</v>
      </c>
      <c r="S18" s="4">
        <v>0</v>
      </c>
      <c r="T18" s="4">
        <v>15</v>
      </c>
      <c r="U18" s="4">
        <v>85</v>
      </c>
      <c r="V18" s="4" t="s">
        <v>9</v>
      </c>
      <c r="W18" s="4" t="s">
        <v>135</v>
      </c>
    </row>
    <row r="19" spans="1:23" ht="150">
      <c r="A19" s="4">
        <v>2026</v>
      </c>
      <c r="B19" s="4" t="s">
        <v>136</v>
      </c>
      <c r="C19" s="4" t="s">
        <v>56</v>
      </c>
      <c r="D19" s="4">
        <v>7900453110</v>
      </c>
      <c r="E19" t="s">
        <v>11</v>
      </c>
      <c r="F19" s="9">
        <v>46139</v>
      </c>
      <c r="G19" s="4">
        <v>110</v>
      </c>
      <c r="H19" s="4" t="s">
        <v>137</v>
      </c>
      <c r="I19" s="4" t="s">
        <v>41</v>
      </c>
      <c r="J19" s="4" t="s">
        <v>42</v>
      </c>
      <c r="K19" s="4" t="s">
        <v>138</v>
      </c>
      <c r="L19" s="42" t="s">
        <v>139</v>
      </c>
      <c r="M19" s="4">
        <v>15</v>
      </c>
      <c r="N19" s="4">
        <v>10</v>
      </c>
      <c r="O19" s="4">
        <v>5</v>
      </c>
      <c r="P19" s="4">
        <v>15</v>
      </c>
      <c r="Q19" s="4">
        <v>15</v>
      </c>
      <c r="R19" s="4">
        <v>10</v>
      </c>
      <c r="S19" s="4">
        <v>0</v>
      </c>
      <c r="T19" s="4">
        <v>15</v>
      </c>
      <c r="U19" s="4">
        <v>85</v>
      </c>
      <c r="V19" s="4" t="s">
        <v>9</v>
      </c>
      <c r="W19" s="4" t="s">
        <v>140</v>
      </c>
    </row>
    <row r="20" spans="1:23" ht="45">
      <c r="A20" s="4">
        <v>2026</v>
      </c>
      <c r="B20" s="4" t="s">
        <v>141</v>
      </c>
      <c r="C20" s="4" t="s">
        <v>56</v>
      </c>
      <c r="D20" s="4">
        <v>7900453110</v>
      </c>
      <c r="E20" t="s">
        <v>11</v>
      </c>
      <c r="F20" s="9">
        <v>46218</v>
      </c>
      <c r="G20" s="4">
        <v>110</v>
      </c>
      <c r="H20" s="4" t="s">
        <v>137</v>
      </c>
      <c r="I20" s="4" t="s">
        <v>41</v>
      </c>
      <c r="J20" s="4" t="s">
        <v>42</v>
      </c>
      <c r="K20" s="4" t="s">
        <v>138</v>
      </c>
      <c r="L20" s="42" t="s">
        <v>142</v>
      </c>
      <c r="M20" s="4">
        <v>15</v>
      </c>
      <c r="N20" s="4">
        <v>10</v>
      </c>
      <c r="O20" s="4">
        <v>5</v>
      </c>
      <c r="P20" s="4">
        <v>15</v>
      </c>
      <c r="Q20" s="4">
        <v>15</v>
      </c>
      <c r="R20" s="4">
        <v>10</v>
      </c>
      <c r="S20" s="4">
        <v>0</v>
      </c>
      <c r="T20" s="4">
        <v>15</v>
      </c>
      <c r="U20" s="4">
        <v>85</v>
      </c>
      <c r="V20" s="4" t="s">
        <v>9</v>
      </c>
      <c r="W20" s="4" t="s">
        <v>140</v>
      </c>
    </row>
    <row r="21" spans="1:23" ht="75">
      <c r="A21" s="4">
        <v>2026</v>
      </c>
      <c r="B21" s="4" t="s">
        <v>143</v>
      </c>
      <c r="C21" s="4" t="s">
        <v>56</v>
      </c>
      <c r="D21" s="4">
        <v>7925871077</v>
      </c>
      <c r="E21" t="s">
        <v>11</v>
      </c>
      <c r="F21" s="9">
        <v>46097</v>
      </c>
      <c r="G21" s="4">
        <v>77</v>
      </c>
      <c r="H21" s="4" t="s">
        <v>144</v>
      </c>
      <c r="I21" s="4" t="s">
        <v>57</v>
      </c>
      <c r="J21" s="4" t="s">
        <v>51</v>
      </c>
      <c r="K21" s="4" t="s">
        <v>145</v>
      </c>
      <c r="L21" s="42" t="s">
        <v>146</v>
      </c>
      <c r="M21" s="4">
        <v>15</v>
      </c>
      <c r="N21" s="4">
        <v>10</v>
      </c>
      <c r="O21" s="4">
        <v>15</v>
      </c>
      <c r="P21" s="4">
        <v>15</v>
      </c>
      <c r="Q21" s="4">
        <v>15</v>
      </c>
      <c r="R21" s="4">
        <v>10</v>
      </c>
      <c r="S21" s="4">
        <v>0</v>
      </c>
      <c r="T21" s="4">
        <v>0</v>
      </c>
      <c r="U21" s="4">
        <v>80</v>
      </c>
      <c r="V21" s="4" t="s">
        <v>9</v>
      </c>
      <c r="W21" s="4" t="s">
        <v>147</v>
      </c>
    </row>
    <row r="22" spans="1:23" ht="210">
      <c r="A22" s="4">
        <v>2026</v>
      </c>
      <c r="B22" s="4" t="s">
        <v>148</v>
      </c>
      <c r="C22" s="4" t="s">
        <v>56</v>
      </c>
      <c r="D22" s="4">
        <v>5803327001</v>
      </c>
      <c r="E22" t="s">
        <v>10</v>
      </c>
      <c r="F22" s="9">
        <v>46223</v>
      </c>
      <c r="G22" s="4">
        <v>1</v>
      </c>
      <c r="H22" s="4" t="s">
        <v>41</v>
      </c>
      <c r="I22" s="4" t="s">
        <v>41</v>
      </c>
      <c r="J22" s="4" t="s">
        <v>42</v>
      </c>
      <c r="K22" s="4" t="s">
        <v>149</v>
      </c>
      <c r="L22" s="42" t="s">
        <v>150</v>
      </c>
      <c r="M22" s="4">
        <v>40</v>
      </c>
      <c r="N22" s="4">
        <v>0</v>
      </c>
      <c r="O22" s="4">
        <v>0</v>
      </c>
      <c r="P22" s="4">
        <v>20</v>
      </c>
      <c r="Q22" s="4">
        <v>20</v>
      </c>
      <c r="R22" s="4" t="s">
        <v>45</v>
      </c>
      <c r="S22" s="4" t="s">
        <v>45</v>
      </c>
      <c r="T22" s="4" t="s">
        <v>45</v>
      </c>
      <c r="U22" s="4">
        <v>80</v>
      </c>
      <c r="V22" s="4" t="s">
        <v>13</v>
      </c>
      <c r="W22" s="4" t="s">
        <v>151</v>
      </c>
    </row>
    <row r="23" spans="1:23" ht="225">
      <c r="A23" s="4">
        <v>2026</v>
      </c>
      <c r="B23" s="4" t="s">
        <v>152</v>
      </c>
      <c r="C23" s="4" t="s">
        <v>96</v>
      </c>
      <c r="D23" s="4">
        <v>7900230155</v>
      </c>
      <c r="E23" t="s">
        <v>11</v>
      </c>
      <c r="F23" s="9">
        <v>46211</v>
      </c>
      <c r="G23" s="4">
        <v>155</v>
      </c>
      <c r="H23" s="4" t="s">
        <v>153</v>
      </c>
      <c r="I23" s="4" t="s">
        <v>154</v>
      </c>
      <c r="J23" s="4" t="s">
        <v>51</v>
      </c>
      <c r="K23" s="4" t="s">
        <v>155</v>
      </c>
      <c r="L23" s="42" t="s">
        <v>156</v>
      </c>
      <c r="M23" s="4">
        <v>15</v>
      </c>
      <c r="N23" s="4">
        <v>20</v>
      </c>
      <c r="O23" s="4">
        <v>5</v>
      </c>
      <c r="P23" s="4">
        <v>15</v>
      </c>
      <c r="Q23" s="4">
        <v>0</v>
      </c>
      <c r="R23" s="4">
        <v>10</v>
      </c>
      <c r="S23" s="4">
        <v>0</v>
      </c>
      <c r="T23" s="4">
        <v>15</v>
      </c>
      <c r="U23" s="4">
        <v>80</v>
      </c>
      <c r="V23" s="4" t="s">
        <v>9</v>
      </c>
      <c r="W23" s="4" t="s">
        <v>157</v>
      </c>
    </row>
    <row r="24" spans="1:23" ht="30">
      <c r="A24" s="4">
        <v>2026</v>
      </c>
      <c r="B24" s="4" t="s">
        <v>158</v>
      </c>
      <c r="C24" s="4" t="s">
        <v>67</v>
      </c>
      <c r="D24" s="4">
        <v>7908302256</v>
      </c>
      <c r="E24" t="s">
        <v>11</v>
      </c>
      <c r="F24" s="9">
        <v>46213</v>
      </c>
      <c r="G24" s="4">
        <v>256</v>
      </c>
      <c r="H24" s="4" t="s">
        <v>107</v>
      </c>
      <c r="I24" s="4" t="s">
        <v>108</v>
      </c>
      <c r="J24" s="4" t="s">
        <v>42</v>
      </c>
      <c r="K24" s="4" t="s">
        <v>109</v>
      </c>
      <c r="L24" s="42" t="s">
        <v>159</v>
      </c>
      <c r="M24" s="4">
        <v>5</v>
      </c>
      <c r="N24" s="4">
        <v>10</v>
      </c>
      <c r="O24" s="4">
        <v>5</v>
      </c>
      <c r="P24" s="4">
        <v>15</v>
      </c>
      <c r="Q24" s="4">
        <v>15</v>
      </c>
      <c r="R24" s="4">
        <v>10</v>
      </c>
      <c r="S24" s="4">
        <v>0</v>
      </c>
      <c r="T24" s="4">
        <v>15</v>
      </c>
      <c r="U24" s="4">
        <v>75</v>
      </c>
      <c r="V24" s="4" t="s">
        <v>13</v>
      </c>
      <c r="W24" s="4" t="s">
        <v>160</v>
      </c>
    </row>
    <row r="25" spans="1:23" ht="150">
      <c r="A25" s="4">
        <v>2026</v>
      </c>
      <c r="B25" s="4" t="s">
        <v>161</v>
      </c>
      <c r="C25" s="4" t="s">
        <v>48</v>
      </c>
      <c r="D25" s="4">
        <v>5800371025</v>
      </c>
      <c r="E25" t="s">
        <v>10</v>
      </c>
      <c r="F25" s="9">
        <v>46230</v>
      </c>
      <c r="G25" s="4">
        <v>25</v>
      </c>
      <c r="H25" s="4" t="s">
        <v>162</v>
      </c>
      <c r="I25" s="4" t="s">
        <v>154</v>
      </c>
      <c r="J25" s="4" t="s">
        <v>51</v>
      </c>
      <c r="K25" s="4" t="s">
        <v>163</v>
      </c>
      <c r="L25" s="42" t="s">
        <v>164</v>
      </c>
      <c r="M25" s="4">
        <v>0</v>
      </c>
      <c r="N25" s="4">
        <v>20</v>
      </c>
      <c r="O25" s="4">
        <v>20</v>
      </c>
      <c r="P25" s="4">
        <v>10</v>
      </c>
      <c r="Q25" s="4">
        <v>20</v>
      </c>
      <c r="R25" s="4" t="s">
        <v>45</v>
      </c>
      <c r="S25" s="4" t="s">
        <v>45</v>
      </c>
      <c r="T25" s="4" t="s">
        <v>45</v>
      </c>
      <c r="U25" s="4">
        <v>70</v>
      </c>
      <c r="V25" s="4" t="s">
        <v>13</v>
      </c>
      <c r="W25" s="4" t="s">
        <v>165</v>
      </c>
    </row>
    <row r="26" spans="1:23" ht="135">
      <c r="A26" s="4">
        <v>2026</v>
      </c>
      <c r="B26" s="4" t="s">
        <v>166</v>
      </c>
      <c r="C26" s="4" t="s">
        <v>96</v>
      </c>
      <c r="D26" s="4">
        <v>5865120195</v>
      </c>
      <c r="E26" t="s">
        <v>10</v>
      </c>
      <c r="F26" s="9">
        <v>46211</v>
      </c>
      <c r="G26" s="4">
        <v>195</v>
      </c>
      <c r="H26" s="4" t="s">
        <v>167</v>
      </c>
      <c r="I26" s="4" t="s">
        <v>50</v>
      </c>
      <c r="J26" s="4" t="s">
        <v>51</v>
      </c>
      <c r="K26" s="4" t="s">
        <v>168</v>
      </c>
      <c r="L26" s="42" t="s">
        <v>169</v>
      </c>
      <c r="M26" s="4">
        <v>20</v>
      </c>
      <c r="N26" s="4">
        <v>20</v>
      </c>
      <c r="O26" s="4">
        <v>20</v>
      </c>
      <c r="P26" s="4">
        <v>10</v>
      </c>
      <c r="Q26" s="4">
        <v>0</v>
      </c>
      <c r="R26" s="4" t="s">
        <v>45</v>
      </c>
      <c r="S26" s="4" t="s">
        <v>45</v>
      </c>
      <c r="T26" s="4" t="s">
        <v>45</v>
      </c>
      <c r="U26" s="4">
        <v>70</v>
      </c>
      <c r="V26" s="4" t="s">
        <v>13</v>
      </c>
      <c r="W26" s="4" t="s">
        <v>170</v>
      </c>
    </row>
    <row r="27" spans="1:23" ht="135">
      <c r="A27" s="4">
        <v>2026</v>
      </c>
      <c r="B27" s="4" t="s">
        <v>171</v>
      </c>
      <c r="C27" s="4" t="s">
        <v>56</v>
      </c>
      <c r="D27" s="4">
        <v>7926089013</v>
      </c>
      <c r="E27" t="s">
        <v>11</v>
      </c>
      <c r="F27" s="9">
        <v>46135</v>
      </c>
      <c r="G27" s="4">
        <v>13</v>
      </c>
      <c r="H27" s="4" t="s">
        <v>97</v>
      </c>
      <c r="I27" s="4" t="s">
        <v>97</v>
      </c>
      <c r="J27" s="4" t="s">
        <v>42</v>
      </c>
      <c r="K27" s="4" t="s">
        <v>172</v>
      </c>
      <c r="L27" s="42" t="s">
        <v>173</v>
      </c>
      <c r="M27" s="4">
        <v>15</v>
      </c>
      <c r="N27" s="4">
        <v>10</v>
      </c>
      <c r="O27" s="4">
        <v>5</v>
      </c>
      <c r="P27" s="4">
        <v>15</v>
      </c>
      <c r="Q27" s="4">
        <v>15</v>
      </c>
      <c r="R27" s="4">
        <v>10</v>
      </c>
      <c r="S27" s="4">
        <v>0</v>
      </c>
      <c r="T27" s="4">
        <v>0</v>
      </c>
      <c r="U27" s="4">
        <v>70</v>
      </c>
      <c r="V27" s="4" t="s">
        <v>13</v>
      </c>
      <c r="W27" s="4" t="s">
        <v>174</v>
      </c>
    </row>
    <row r="28" spans="1:23" ht="75">
      <c r="A28" s="4">
        <v>2026</v>
      </c>
      <c r="B28" s="4" t="s">
        <v>175</v>
      </c>
      <c r="C28" s="4" t="s">
        <v>96</v>
      </c>
      <c r="D28" s="4">
        <v>7925087021</v>
      </c>
      <c r="E28" t="s">
        <v>11</v>
      </c>
      <c r="F28" s="9">
        <v>46223</v>
      </c>
      <c r="G28" s="4">
        <v>21</v>
      </c>
      <c r="H28" s="4" t="s">
        <v>176</v>
      </c>
      <c r="I28" s="4" t="s">
        <v>177</v>
      </c>
      <c r="J28" s="4" t="s">
        <v>76</v>
      </c>
      <c r="K28" s="4" t="s">
        <v>178</v>
      </c>
      <c r="L28" s="42" t="s">
        <v>179</v>
      </c>
      <c r="M28" s="4">
        <v>15</v>
      </c>
      <c r="N28" s="4">
        <v>10</v>
      </c>
      <c r="O28" s="4">
        <v>5</v>
      </c>
      <c r="P28" s="4">
        <v>0</v>
      </c>
      <c r="Q28" s="4">
        <v>15</v>
      </c>
      <c r="R28" s="4">
        <v>10</v>
      </c>
      <c r="S28" s="4">
        <v>0</v>
      </c>
      <c r="T28" s="4">
        <v>15</v>
      </c>
      <c r="U28" s="4">
        <v>70</v>
      </c>
      <c r="V28" s="4" t="s">
        <v>13</v>
      </c>
      <c r="W28" s="4" t="s">
        <v>180</v>
      </c>
    </row>
    <row r="29" spans="1:23" ht="225">
      <c r="A29" s="4">
        <v>2026</v>
      </c>
      <c r="B29" s="4" t="s">
        <v>181</v>
      </c>
      <c r="C29" s="4" t="s">
        <v>96</v>
      </c>
      <c r="D29" s="4">
        <v>5801866013</v>
      </c>
      <c r="E29" t="s">
        <v>10</v>
      </c>
      <c r="F29" s="9">
        <v>46220</v>
      </c>
      <c r="G29" s="4">
        <v>13</v>
      </c>
      <c r="H29" s="4" t="s">
        <v>97</v>
      </c>
      <c r="I29" s="4" t="s">
        <v>97</v>
      </c>
      <c r="J29" s="4" t="s">
        <v>42</v>
      </c>
      <c r="K29" s="4" t="s">
        <v>182</v>
      </c>
      <c r="L29" s="42" t="s">
        <v>183</v>
      </c>
      <c r="M29" s="4">
        <v>0</v>
      </c>
      <c r="N29" s="4">
        <v>20</v>
      </c>
      <c r="O29" s="4">
        <v>20</v>
      </c>
      <c r="P29" s="4">
        <v>20</v>
      </c>
      <c r="Q29" s="4">
        <v>10</v>
      </c>
      <c r="R29" s="4" t="s">
        <v>45</v>
      </c>
      <c r="S29" s="4" t="s">
        <v>45</v>
      </c>
      <c r="T29" s="4" t="s">
        <v>45</v>
      </c>
      <c r="U29" s="4">
        <v>70</v>
      </c>
      <c r="V29" s="4" t="s">
        <v>13</v>
      </c>
      <c r="W29" s="4" t="s">
        <v>184</v>
      </c>
    </row>
    <row r="30" spans="1:23" ht="135">
      <c r="A30" s="4">
        <v>2025</v>
      </c>
      <c r="B30" s="4" t="s">
        <v>185</v>
      </c>
      <c r="C30" s="4" t="s">
        <v>125</v>
      </c>
      <c r="D30" s="4">
        <v>5853360007</v>
      </c>
      <c r="E30" t="s">
        <v>10</v>
      </c>
      <c r="F30" s="9">
        <v>45946</v>
      </c>
      <c r="G30" s="4">
        <v>7</v>
      </c>
      <c r="H30" s="4" t="s">
        <v>186</v>
      </c>
      <c r="I30" s="4" t="s">
        <v>186</v>
      </c>
      <c r="J30" s="4" t="s">
        <v>42</v>
      </c>
      <c r="K30" s="4" t="s">
        <v>187</v>
      </c>
      <c r="L30" s="42" t="s">
        <v>188</v>
      </c>
      <c r="M30" s="4">
        <v>0</v>
      </c>
      <c r="N30" s="4">
        <v>20</v>
      </c>
      <c r="O30" s="4">
        <v>20</v>
      </c>
      <c r="P30" s="4">
        <v>10</v>
      </c>
      <c r="Q30" s="4">
        <v>20</v>
      </c>
      <c r="R30" s="4" t="s">
        <v>45</v>
      </c>
      <c r="S30" s="4" t="s">
        <v>45</v>
      </c>
      <c r="T30" s="4" t="s">
        <v>45</v>
      </c>
      <c r="U30" s="4">
        <v>70</v>
      </c>
      <c r="V30" s="4" t="s">
        <v>13</v>
      </c>
      <c r="W30" s="4" t="s">
        <v>189</v>
      </c>
    </row>
    <row r="31" spans="1:23" ht="135">
      <c r="A31" s="4">
        <v>2026</v>
      </c>
      <c r="B31" s="4" t="s">
        <v>190</v>
      </c>
      <c r="C31" s="4" t="s">
        <v>96</v>
      </c>
      <c r="D31" s="4">
        <v>7900573047</v>
      </c>
      <c r="E31" t="s">
        <v>11</v>
      </c>
      <c r="F31" s="9">
        <v>46223</v>
      </c>
      <c r="G31" s="4">
        <v>47</v>
      </c>
      <c r="H31" s="4" t="s">
        <v>191</v>
      </c>
      <c r="I31" s="4" t="s">
        <v>192</v>
      </c>
      <c r="J31" s="4" t="s">
        <v>76</v>
      </c>
      <c r="K31" s="4" t="s">
        <v>193</v>
      </c>
      <c r="L31" s="42" t="s">
        <v>194</v>
      </c>
      <c r="M31" s="4">
        <v>5</v>
      </c>
      <c r="N31" s="4">
        <v>5</v>
      </c>
      <c r="O31" s="4">
        <v>15</v>
      </c>
      <c r="P31" s="4">
        <v>0</v>
      </c>
      <c r="Q31" s="4">
        <v>15</v>
      </c>
      <c r="R31" s="4">
        <v>10</v>
      </c>
      <c r="S31" s="4">
        <v>0</v>
      </c>
      <c r="T31" s="4">
        <v>15</v>
      </c>
      <c r="U31" s="4">
        <v>65</v>
      </c>
      <c r="V31" s="4" t="s">
        <v>13</v>
      </c>
      <c r="W31" s="4" t="s">
        <v>195</v>
      </c>
    </row>
    <row r="32" spans="1:23" ht="120">
      <c r="A32" s="4">
        <v>2026</v>
      </c>
      <c r="B32" s="4" t="s">
        <v>196</v>
      </c>
      <c r="C32" s="4" t="s">
        <v>39</v>
      </c>
      <c r="D32" s="4">
        <v>7953610256</v>
      </c>
      <c r="E32" t="s">
        <v>11</v>
      </c>
      <c r="F32" s="9">
        <v>46219</v>
      </c>
      <c r="G32" s="4">
        <v>256</v>
      </c>
      <c r="H32" s="4" t="s">
        <v>107</v>
      </c>
      <c r="I32" s="4" t="s">
        <v>108</v>
      </c>
      <c r="J32" s="4" t="s">
        <v>42</v>
      </c>
      <c r="K32" s="4" t="s">
        <v>109</v>
      </c>
      <c r="L32" s="42" t="s">
        <v>197</v>
      </c>
      <c r="M32" s="4">
        <v>5</v>
      </c>
      <c r="N32" s="4">
        <v>5</v>
      </c>
      <c r="O32" s="4">
        <v>15</v>
      </c>
      <c r="P32" s="4">
        <v>15</v>
      </c>
      <c r="Q32" s="4">
        <v>0</v>
      </c>
      <c r="R32" s="4">
        <v>0</v>
      </c>
      <c r="S32" s="4">
        <v>10</v>
      </c>
      <c r="T32" s="4">
        <v>15</v>
      </c>
      <c r="U32" s="4">
        <v>65</v>
      </c>
      <c r="V32" s="4" t="s">
        <v>13</v>
      </c>
      <c r="W32" s="4" t="s">
        <v>198</v>
      </c>
    </row>
    <row r="33" spans="1:23" ht="195">
      <c r="A33" s="4">
        <v>2026</v>
      </c>
      <c r="B33" s="4" t="s">
        <v>199</v>
      </c>
      <c r="C33" s="4" t="s">
        <v>73</v>
      </c>
      <c r="D33" s="4">
        <v>5800438116</v>
      </c>
      <c r="E33" t="s">
        <v>10</v>
      </c>
      <c r="F33" s="9">
        <v>46204</v>
      </c>
      <c r="G33" s="4">
        <v>116</v>
      </c>
      <c r="H33" s="4" t="s">
        <v>200</v>
      </c>
      <c r="I33" s="4" t="s">
        <v>75</v>
      </c>
      <c r="J33" s="4" t="s">
        <v>76</v>
      </c>
      <c r="K33" s="4" t="s">
        <v>77</v>
      </c>
      <c r="L33" s="42" t="s">
        <v>201</v>
      </c>
      <c r="M33" s="4">
        <v>0</v>
      </c>
      <c r="N33" s="4">
        <v>20</v>
      </c>
      <c r="O33" s="4">
        <v>20</v>
      </c>
      <c r="P33" s="4">
        <v>20</v>
      </c>
      <c r="Q33" s="4">
        <v>0</v>
      </c>
      <c r="R33" s="4" t="s">
        <v>45</v>
      </c>
      <c r="S33" s="4" t="s">
        <v>45</v>
      </c>
      <c r="T33" s="4" t="s">
        <v>45</v>
      </c>
      <c r="U33" s="4">
        <v>60</v>
      </c>
      <c r="V33" s="4" t="s">
        <v>14</v>
      </c>
      <c r="W33" s="4" t="s">
        <v>202</v>
      </c>
    </row>
    <row r="34" spans="1:23" ht="90">
      <c r="A34" s="4">
        <v>2026</v>
      </c>
      <c r="B34" s="4" t="s">
        <v>203</v>
      </c>
      <c r="C34" s="4" t="s">
        <v>56</v>
      </c>
      <c r="D34" s="4">
        <v>5840227063</v>
      </c>
      <c r="E34" t="s">
        <v>10</v>
      </c>
      <c r="F34" s="9">
        <v>46223</v>
      </c>
      <c r="G34" s="4">
        <v>63</v>
      </c>
      <c r="H34" s="4" t="s">
        <v>204</v>
      </c>
      <c r="I34" s="4" t="s">
        <v>154</v>
      </c>
      <c r="J34" s="4" t="s">
        <v>51</v>
      </c>
      <c r="K34" s="4" t="s">
        <v>205</v>
      </c>
      <c r="L34" s="42" t="s">
        <v>206</v>
      </c>
      <c r="M34" s="4">
        <v>0</v>
      </c>
      <c r="N34" s="4">
        <v>20</v>
      </c>
      <c r="O34" s="4">
        <v>20</v>
      </c>
      <c r="P34" s="4">
        <v>10</v>
      </c>
      <c r="Q34" s="4">
        <v>10</v>
      </c>
      <c r="R34" s="4" t="s">
        <v>45</v>
      </c>
      <c r="S34" s="4" t="s">
        <v>45</v>
      </c>
      <c r="T34" s="4" t="s">
        <v>45</v>
      </c>
      <c r="U34" s="4">
        <v>60</v>
      </c>
      <c r="V34" s="4" t="s">
        <v>14</v>
      </c>
      <c r="W34" s="4" t="s">
        <v>207</v>
      </c>
    </row>
    <row r="35" spans="1:23" ht="195">
      <c r="A35" s="4">
        <v>2026</v>
      </c>
      <c r="B35" s="4" t="s">
        <v>208</v>
      </c>
      <c r="C35" s="4" t="s">
        <v>67</v>
      </c>
      <c r="D35" s="4">
        <v>5851753086</v>
      </c>
      <c r="E35" t="s">
        <v>10</v>
      </c>
      <c r="F35" s="9">
        <v>46175</v>
      </c>
      <c r="G35" s="4">
        <v>86</v>
      </c>
      <c r="H35" s="4" t="s">
        <v>209</v>
      </c>
      <c r="I35" s="4" t="s">
        <v>210</v>
      </c>
      <c r="J35" s="4" t="s">
        <v>42</v>
      </c>
      <c r="K35" s="4" t="s">
        <v>211</v>
      </c>
      <c r="L35" s="42" t="s">
        <v>212</v>
      </c>
      <c r="M35" s="4">
        <v>0</v>
      </c>
      <c r="N35" s="4">
        <v>20</v>
      </c>
      <c r="O35" s="4">
        <v>20</v>
      </c>
      <c r="P35" s="4">
        <v>10</v>
      </c>
      <c r="Q35" s="4">
        <v>10</v>
      </c>
      <c r="R35" s="4" t="s">
        <v>45</v>
      </c>
      <c r="S35" s="4" t="s">
        <v>45</v>
      </c>
      <c r="T35" s="4" t="s">
        <v>45</v>
      </c>
      <c r="U35" s="4">
        <v>60</v>
      </c>
      <c r="V35" s="4" t="s">
        <v>14</v>
      </c>
      <c r="W35" s="4" t="s">
        <v>213</v>
      </c>
    </row>
    <row r="36" spans="1:23" ht="105">
      <c r="A36" s="4">
        <v>2026</v>
      </c>
      <c r="B36" s="4" t="s">
        <v>214</v>
      </c>
      <c r="C36" s="4" t="s">
        <v>67</v>
      </c>
      <c r="D36" s="4">
        <v>5846328094</v>
      </c>
      <c r="E36" t="s">
        <v>10</v>
      </c>
      <c r="F36" s="9">
        <v>46211</v>
      </c>
      <c r="G36" s="4">
        <v>94</v>
      </c>
      <c r="H36" s="4" t="s">
        <v>177</v>
      </c>
      <c r="I36" s="4" t="s">
        <v>177</v>
      </c>
      <c r="J36" s="4" t="s">
        <v>76</v>
      </c>
      <c r="K36" s="4" t="s">
        <v>215</v>
      </c>
      <c r="L36" s="42" t="s">
        <v>216</v>
      </c>
      <c r="M36" s="4">
        <v>0</v>
      </c>
      <c r="N36" s="4">
        <v>20</v>
      </c>
      <c r="O36" s="4">
        <v>20</v>
      </c>
      <c r="P36" s="4">
        <v>10</v>
      </c>
      <c r="Q36" s="4">
        <v>10</v>
      </c>
      <c r="R36" s="4" t="s">
        <v>45</v>
      </c>
      <c r="S36" s="4" t="s">
        <v>45</v>
      </c>
      <c r="T36" s="4" t="s">
        <v>45</v>
      </c>
      <c r="U36" s="4">
        <v>60</v>
      </c>
      <c r="V36" s="4" t="s">
        <v>14</v>
      </c>
      <c r="W36" s="4" t="s">
        <v>217</v>
      </c>
    </row>
    <row r="37" spans="1:23" ht="60">
      <c r="A37" s="4">
        <v>2025</v>
      </c>
      <c r="B37" s="4" t="s">
        <v>218</v>
      </c>
      <c r="C37" s="4" t="s">
        <v>56</v>
      </c>
      <c r="D37" s="4">
        <v>7903112004</v>
      </c>
      <c r="E37" t="s">
        <v>11</v>
      </c>
      <c r="F37" s="9">
        <v>45903</v>
      </c>
      <c r="G37" s="4">
        <v>4</v>
      </c>
      <c r="H37" s="4" t="s">
        <v>57</v>
      </c>
      <c r="I37" s="4" t="s">
        <v>57</v>
      </c>
      <c r="J37" s="4" t="s">
        <v>51</v>
      </c>
      <c r="K37" s="4" t="s">
        <v>103</v>
      </c>
      <c r="L37" s="42" t="s">
        <v>219</v>
      </c>
      <c r="M37" s="4">
        <v>15</v>
      </c>
      <c r="N37" s="4">
        <v>10</v>
      </c>
      <c r="O37" s="4">
        <v>5</v>
      </c>
      <c r="P37" s="4">
        <v>15</v>
      </c>
      <c r="Q37" s="4">
        <v>0</v>
      </c>
      <c r="R37" s="4">
        <v>10</v>
      </c>
      <c r="S37" s="4">
        <v>0</v>
      </c>
      <c r="T37" s="4">
        <v>0</v>
      </c>
      <c r="U37" s="4">
        <v>55</v>
      </c>
      <c r="V37" s="4" t="s">
        <v>13</v>
      </c>
      <c r="W37" s="4" t="s">
        <v>220</v>
      </c>
    </row>
    <row r="38" spans="1:23" ht="120">
      <c r="A38" s="4">
        <v>2025</v>
      </c>
      <c r="B38" s="4" t="s">
        <v>221</v>
      </c>
      <c r="C38" s="4" t="s">
        <v>56</v>
      </c>
      <c r="D38" s="4">
        <v>7920024127</v>
      </c>
      <c r="E38" t="s">
        <v>11</v>
      </c>
      <c r="F38" s="9">
        <v>45839</v>
      </c>
      <c r="G38" s="4">
        <v>127</v>
      </c>
      <c r="H38" s="4" t="s">
        <v>222</v>
      </c>
      <c r="I38" s="4" t="s">
        <v>223</v>
      </c>
      <c r="J38" s="4" t="s">
        <v>51</v>
      </c>
      <c r="K38" s="4" t="s">
        <v>224</v>
      </c>
      <c r="L38" s="42" t="s">
        <v>225</v>
      </c>
      <c r="M38" s="4">
        <v>15</v>
      </c>
      <c r="N38" s="4">
        <v>10</v>
      </c>
      <c r="O38" s="4">
        <v>5</v>
      </c>
      <c r="P38" s="4">
        <v>15</v>
      </c>
      <c r="Q38" s="4">
        <v>0</v>
      </c>
      <c r="R38" s="4">
        <v>10</v>
      </c>
      <c r="S38" s="4">
        <v>0</v>
      </c>
      <c r="T38" s="4">
        <v>0</v>
      </c>
      <c r="U38" s="4">
        <v>55</v>
      </c>
      <c r="V38" s="4" t="s">
        <v>13</v>
      </c>
      <c r="W38" s="4" t="s">
        <v>226</v>
      </c>
    </row>
    <row r="39" spans="1:23" ht="90">
      <c r="A39" s="4">
        <v>2026</v>
      </c>
      <c r="B39" s="4" t="s">
        <v>227</v>
      </c>
      <c r="C39" s="4" t="s">
        <v>56</v>
      </c>
      <c r="D39" s="4">
        <v>7927646026</v>
      </c>
      <c r="E39" t="s">
        <v>11</v>
      </c>
      <c r="F39" s="9">
        <v>46057</v>
      </c>
      <c r="G39" s="4">
        <v>26</v>
      </c>
      <c r="H39" s="4" t="s">
        <v>108</v>
      </c>
      <c r="I39" s="4" t="s">
        <v>108</v>
      </c>
      <c r="J39" s="4" t="s">
        <v>42</v>
      </c>
      <c r="K39" s="4" t="s">
        <v>109</v>
      </c>
      <c r="L39" s="42" t="s">
        <v>228</v>
      </c>
      <c r="M39" s="4">
        <v>15</v>
      </c>
      <c r="N39" s="4">
        <v>10</v>
      </c>
      <c r="O39" s="4">
        <v>5</v>
      </c>
      <c r="P39" s="4">
        <v>0</v>
      </c>
      <c r="Q39" s="4">
        <v>15</v>
      </c>
      <c r="R39" s="4">
        <v>0</v>
      </c>
      <c r="S39" s="4">
        <v>10</v>
      </c>
      <c r="T39" s="4">
        <v>0</v>
      </c>
      <c r="U39" s="4">
        <v>55</v>
      </c>
      <c r="V39" s="4" t="s">
        <v>13</v>
      </c>
      <c r="W39" s="4" t="s">
        <v>229</v>
      </c>
    </row>
    <row r="40" spans="1:23" ht="120">
      <c r="A40" s="4">
        <v>2026</v>
      </c>
      <c r="B40" s="4" t="s">
        <v>230</v>
      </c>
      <c r="C40" s="4" t="s">
        <v>96</v>
      </c>
      <c r="D40" s="4">
        <v>7927169001</v>
      </c>
      <c r="E40" t="s">
        <v>11</v>
      </c>
      <c r="F40" s="9">
        <v>46224</v>
      </c>
      <c r="G40" s="4">
        <v>1</v>
      </c>
      <c r="H40" s="4" t="s">
        <v>41</v>
      </c>
      <c r="I40" s="4" t="s">
        <v>41</v>
      </c>
      <c r="J40" s="4" t="s">
        <v>42</v>
      </c>
      <c r="K40" s="4" t="s">
        <v>149</v>
      </c>
      <c r="L40" s="42" t="s">
        <v>231</v>
      </c>
      <c r="M40" s="4">
        <v>5</v>
      </c>
      <c r="N40" s="4">
        <v>5</v>
      </c>
      <c r="O40" s="4">
        <v>15</v>
      </c>
      <c r="P40" s="4">
        <v>0</v>
      </c>
      <c r="Q40" s="4">
        <v>15</v>
      </c>
      <c r="R40" s="4">
        <v>0</v>
      </c>
      <c r="S40" s="4">
        <v>0</v>
      </c>
      <c r="T40" s="4">
        <v>15</v>
      </c>
      <c r="U40" s="4">
        <v>55</v>
      </c>
      <c r="V40" s="4" t="s">
        <v>13</v>
      </c>
      <c r="W40" s="4" t="s">
        <v>232</v>
      </c>
    </row>
    <row r="41" spans="1:23" ht="135">
      <c r="A41" s="4">
        <v>2026</v>
      </c>
      <c r="B41" s="4" t="s">
        <v>233</v>
      </c>
      <c r="C41" s="4" t="s">
        <v>39</v>
      </c>
      <c r="D41" s="4">
        <v>5800291035</v>
      </c>
      <c r="E41" t="s">
        <v>10</v>
      </c>
      <c r="F41" s="9">
        <v>46112</v>
      </c>
      <c r="G41" s="4">
        <v>35</v>
      </c>
      <c r="H41" s="4" t="s">
        <v>234</v>
      </c>
      <c r="I41" s="4" t="s">
        <v>108</v>
      </c>
      <c r="J41" s="4" t="s">
        <v>42</v>
      </c>
      <c r="K41" s="4" t="s">
        <v>235</v>
      </c>
      <c r="L41" s="42" t="s">
        <v>236</v>
      </c>
      <c r="M41" s="4">
        <v>0</v>
      </c>
      <c r="N41" s="4">
        <v>20</v>
      </c>
      <c r="O41" s="4">
        <v>20</v>
      </c>
      <c r="P41" s="4">
        <v>10</v>
      </c>
      <c r="Q41" s="4">
        <v>0</v>
      </c>
      <c r="R41" s="4" t="s">
        <v>45</v>
      </c>
      <c r="S41" s="4" t="s">
        <v>45</v>
      </c>
      <c r="T41" s="4" t="s">
        <v>45</v>
      </c>
      <c r="U41" s="4">
        <v>50</v>
      </c>
      <c r="V41" s="4" t="s">
        <v>14</v>
      </c>
      <c r="W41" s="4" t="s">
        <v>237</v>
      </c>
    </row>
    <row r="42" spans="1:23" ht="90">
      <c r="A42" s="4">
        <v>2026</v>
      </c>
      <c r="B42" s="4" t="s">
        <v>238</v>
      </c>
      <c r="C42" s="4" t="s">
        <v>56</v>
      </c>
      <c r="D42" s="4">
        <v>7930428001</v>
      </c>
      <c r="E42" t="s">
        <v>11</v>
      </c>
      <c r="F42" s="9">
        <v>46223</v>
      </c>
      <c r="G42" s="4">
        <v>1</v>
      </c>
      <c r="H42" s="4" t="s">
        <v>41</v>
      </c>
      <c r="I42" s="4" t="s">
        <v>41</v>
      </c>
      <c r="J42" s="4" t="s">
        <v>42</v>
      </c>
      <c r="K42" s="4" t="s">
        <v>239</v>
      </c>
      <c r="L42" s="42" t="s">
        <v>240</v>
      </c>
      <c r="M42" s="4">
        <v>5</v>
      </c>
      <c r="N42" s="4">
        <v>5</v>
      </c>
      <c r="O42" s="4">
        <v>15</v>
      </c>
      <c r="P42" s="4">
        <v>0</v>
      </c>
      <c r="Q42" s="4">
        <v>15</v>
      </c>
      <c r="R42" s="4">
        <v>10</v>
      </c>
      <c r="S42" s="4">
        <v>0</v>
      </c>
      <c r="T42" s="4">
        <v>0</v>
      </c>
      <c r="U42" s="4">
        <v>50</v>
      </c>
      <c r="V42" s="4" t="s">
        <v>13</v>
      </c>
      <c r="W42" s="4" t="s">
        <v>241</v>
      </c>
    </row>
    <row r="43" spans="1:23" ht="150">
      <c r="A43" s="4">
        <v>2026</v>
      </c>
      <c r="B43" s="4" t="s">
        <v>242</v>
      </c>
      <c r="C43" s="4" t="s">
        <v>125</v>
      </c>
      <c r="D43" s="4">
        <v>5827102054</v>
      </c>
      <c r="E43" t="s">
        <v>10</v>
      </c>
      <c r="F43" s="9">
        <v>46202</v>
      </c>
      <c r="G43" s="4">
        <v>54</v>
      </c>
      <c r="H43" s="4" t="s">
        <v>243</v>
      </c>
      <c r="I43" s="4" t="s">
        <v>97</v>
      </c>
      <c r="J43" s="4" t="s">
        <v>42</v>
      </c>
      <c r="K43" s="4" t="s">
        <v>244</v>
      </c>
      <c r="L43" s="42" t="s">
        <v>245</v>
      </c>
      <c r="M43" s="4">
        <v>0</v>
      </c>
      <c r="N43" s="4">
        <v>20</v>
      </c>
      <c r="O43" s="4">
        <v>20</v>
      </c>
      <c r="P43" s="4">
        <v>10</v>
      </c>
      <c r="Q43" s="4">
        <v>0</v>
      </c>
      <c r="R43" s="4" t="s">
        <v>45</v>
      </c>
      <c r="S43" s="4" t="s">
        <v>45</v>
      </c>
      <c r="T43" s="4" t="s">
        <v>45</v>
      </c>
      <c r="U43" s="4">
        <v>50</v>
      </c>
      <c r="V43" s="4" t="s">
        <v>14</v>
      </c>
      <c r="W43" s="4" t="s">
        <v>246</v>
      </c>
    </row>
    <row r="44" spans="1:23" ht="120">
      <c r="A44" s="4">
        <v>2025</v>
      </c>
      <c r="B44" s="4" t="s">
        <v>247</v>
      </c>
      <c r="C44" s="4" t="s">
        <v>56</v>
      </c>
      <c r="D44" s="4">
        <v>7900535058</v>
      </c>
      <c r="E44" t="s">
        <v>11</v>
      </c>
      <c r="F44" s="9">
        <v>45894</v>
      </c>
      <c r="G44" s="4">
        <v>58</v>
      </c>
      <c r="H44" s="4" t="s">
        <v>248</v>
      </c>
      <c r="I44" s="4" t="s">
        <v>57</v>
      </c>
      <c r="J44" s="4" t="s">
        <v>51</v>
      </c>
      <c r="K44" s="4" t="s">
        <v>249</v>
      </c>
      <c r="L44" s="42" t="s">
        <v>250</v>
      </c>
      <c r="M44" s="4">
        <v>5</v>
      </c>
      <c r="N44" s="4">
        <v>10</v>
      </c>
      <c r="O44" s="4">
        <v>5</v>
      </c>
      <c r="P44" s="4">
        <v>0</v>
      </c>
      <c r="Q44" s="4">
        <v>15</v>
      </c>
      <c r="R44" s="4">
        <v>10</v>
      </c>
      <c r="S44" s="4">
        <v>0</v>
      </c>
      <c r="T44" s="4">
        <v>0</v>
      </c>
      <c r="U44" s="4">
        <v>45</v>
      </c>
      <c r="V44" s="4" t="s">
        <v>14</v>
      </c>
      <c r="W44" s="4" t="s">
        <v>251</v>
      </c>
    </row>
    <row r="45" spans="1:23" ht="45">
      <c r="A45" s="4">
        <v>2025</v>
      </c>
      <c r="B45" s="4" t="s">
        <v>252</v>
      </c>
      <c r="C45" s="4" t="s">
        <v>56</v>
      </c>
      <c r="D45" s="4">
        <v>5800961074</v>
      </c>
      <c r="E45" t="s">
        <v>10</v>
      </c>
      <c r="F45" s="9">
        <v>45996</v>
      </c>
      <c r="G45" s="4">
        <v>74</v>
      </c>
      <c r="H45" s="4" t="s">
        <v>75</v>
      </c>
      <c r="I45" s="4" t="s">
        <v>75</v>
      </c>
      <c r="J45" s="4" t="s">
        <v>76</v>
      </c>
      <c r="K45" s="4" t="s">
        <v>253</v>
      </c>
      <c r="L45" s="42" t="s">
        <v>254</v>
      </c>
      <c r="M45" s="4">
        <v>20</v>
      </c>
      <c r="N45" s="4">
        <v>0</v>
      </c>
      <c r="O45" s="4">
        <v>0</v>
      </c>
      <c r="P45" s="4">
        <v>20</v>
      </c>
      <c r="Q45" s="4">
        <v>0</v>
      </c>
      <c r="R45" s="4" t="s">
        <v>45</v>
      </c>
      <c r="S45" s="4" t="s">
        <v>45</v>
      </c>
      <c r="T45" s="4" t="s">
        <v>45</v>
      </c>
      <c r="U45" s="4">
        <v>40</v>
      </c>
      <c r="V45" s="4" t="s">
        <v>14</v>
      </c>
      <c r="W45" s="4" t="s">
        <v>255</v>
      </c>
    </row>
    <row r="46" spans="1:23" ht="60">
      <c r="A46" s="4">
        <v>2026</v>
      </c>
      <c r="B46" s="4" t="s">
        <v>256</v>
      </c>
      <c r="C46" s="4" t="s">
        <v>56</v>
      </c>
      <c r="D46" s="4">
        <v>7944559149</v>
      </c>
      <c r="E46" t="s">
        <v>11</v>
      </c>
      <c r="F46" s="9">
        <v>46112</v>
      </c>
      <c r="G46" s="4">
        <v>149</v>
      </c>
      <c r="H46" s="4" t="s">
        <v>257</v>
      </c>
      <c r="I46" s="4" t="s">
        <v>210</v>
      </c>
      <c r="J46" s="4" t="s">
        <v>42</v>
      </c>
      <c r="K46" s="4" t="s">
        <v>258</v>
      </c>
      <c r="L46" s="42" t="s">
        <v>259</v>
      </c>
      <c r="M46" s="4">
        <v>5</v>
      </c>
      <c r="N46" s="4">
        <v>10</v>
      </c>
      <c r="O46" s="4">
        <v>0</v>
      </c>
      <c r="P46" s="4">
        <v>0</v>
      </c>
      <c r="Q46" s="4">
        <v>15</v>
      </c>
      <c r="R46" s="4">
        <v>10</v>
      </c>
      <c r="S46" s="4">
        <v>0</v>
      </c>
      <c r="T46" s="4">
        <v>0</v>
      </c>
      <c r="U46" s="4">
        <v>40</v>
      </c>
      <c r="V46" s="4" t="s">
        <v>14</v>
      </c>
      <c r="W46" s="4" t="s">
        <v>260</v>
      </c>
    </row>
    <row r="47" spans="1:23" ht="45">
      <c r="A47" s="4">
        <v>2026</v>
      </c>
      <c r="B47" s="4" t="s">
        <v>261</v>
      </c>
      <c r="C47" s="4" t="s">
        <v>56</v>
      </c>
      <c r="D47" s="4">
        <v>7937102148</v>
      </c>
      <c r="E47" t="s">
        <v>11</v>
      </c>
      <c r="F47" s="9">
        <v>46210</v>
      </c>
      <c r="G47" s="4">
        <v>148</v>
      </c>
      <c r="H47" s="4" t="s">
        <v>262</v>
      </c>
      <c r="I47" s="4" t="s">
        <v>177</v>
      </c>
      <c r="J47" s="4" t="s">
        <v>76</v>
      </c>
      <c r="K47" s="4" t="s">
        <v>263</v>
      </c>
      <c r="L47" s="42" t="s">
        <v>264</v>
      </c>
      <c r="M47" s="4">
        <v>5</v>
      </c>
      <c r="N47" s="4">
        <v>5</v>
      </c>
      <c r="O47" s="4">
        <v>5</v>
      </c>
      <c r="P47" s="4">
        <v>0</v>
      </c>
      <c r="Q47" s="4">
        <v>15</v>
      </c>
      <c r="R47" s="4">
        <v>10</v>
      </c>
      <c r="S47" s="4">
        <v>0</v>
      </c>
      <c r="T47" s="4">
        <v>0</v>
      </c>
      <c r="U47" s="4">
        <v>40</v>
      </c>
      <c r="V47" s="4" t="s">
        <v>14</v>
      </c>
      <c r="W47" s="4" t="s">
        <v>265</v>
      </c>
    </row>
    <row r="48" spans="1:23" ht="60">
      <c r="A48" s="4">
        <v>2026</v>
      </c>
      <c r="B48" s="4" t="s">
        <v>266</v>
      </c>
      <c r="C48" s="4" t="s">
        <v>96</v>
      </c>
      <c r="D48" s="4">
        <v>7922995039</v>
      </c>
      <c r="E48" t="s">
        <v>11</v>
      </c>
      <c r="F48" s="9">
        <v>46202</v>
      </c>
      <c r="G48" s="4">
        <v>39</v>
      </c>
      <c r="H48" s="4" t="s">
        <v>267</v>
      </c>
      <c r="I48" s="4" t="s">
        <v>132</v>
      </c>
      <c r="J48" s="4" t="s">
        <v>51</v>
      </c>
      <c r="K48" s="4" t="s">
        <v>268</v>
      </c>
      <c r="L48" s="42" t="s">
        <v>269</v>
      </c>
      <c r="M48" s="4">
        <v>5</v>
      </c>
      <c r="N48" s="4">
        <v>5</v>
      </c>
      <c r="O48" s="4">
        <v>0</v>
      </c>
      <c r="P48" s="4">
        <v>0</v>
      </c>
      <c r="Q48" s="4">
        <v>15</v>
      </c>
      <c r="R48" s="4">
        <v>10</v>
      </c>
      <c r="S48" s="4">
        <v>0</v>
      </c>
      <c r="T48" s="4">
        <v>0</v>
      </c>
      <c r="U48" s="4">
        <v>35</v>
      </c>
      <c r="V48" s="4" t="s">
        <v>14</v>
      </c>
      <c r="W48" s="4" t="s">
        <v>270</v>
      </c>
    </row>
    <row r="49" spans="1:23" ht="30">
      <c r="A49" s="4">
        <v>2026</v>
      </c>
      <c r="B49" s="4" t="s">
        <v>271</v>
      </c>
      <c r="C49" s="4" t="s">
        <v>56</v>
      </c>
      <c r="D49" s="4">
        <v>7933585074</v>
      </c>
      <c r="E49" t="s">
        <v>11</v>
      </c>
      <c r="F49" s="9">
        <v>46049</v>
      </c>
      <c r="G49" s="4">
        <v>74</v>
      </c>
      <c r="H49" s="4" t="s">
        <v>75</v>
      </c>
      <c r="I49" s="4" t="s">
        <v>75</v>
      </c>
      <c r="J49" s="4" t="s">
        <v>76</v>
      </c>
      <c r="K49" s="4" t="s">
        <v>253</v>
      </c>
      <c r="L49" s="42" t="s">
        <v>272</v>
      </c>
      <c r="M49" s="4">
        <v>5</v>
      </c>
      <c r="N49" s="4">
        <v>5</v>
      </c>
      <c r="O49" s="4">
        <v>15</v>
      </c>
      <c r="P49" s="4">
        <v>0</v>
      </c>
      <c r="Q49" s="4">
        <v>0</v>
      </c>
      <c r="R49" s="4">
        <v>0</v>
      </c>
      <c r="S49" s="4">
        <v>10</v>
      </c>
      <c r="T49" s="4">
        <v>0</v>
      </c>
      <c r="U49" s="4">
        <v>35</v>
      </c>
      <c r="V49" s="4" t="s">
        <v>14</v>
      </c>
      <c r="W49" s="4" t="s">
        <v>273</v>
      </c>
    </row>
    <row r="50" spans="1:23" ht="60">
      <c r="A50" s="4">
        <v>2026</v>
      </c>
      <c r="B50" s="4" t="s">
        <v>274</v>
      </c>
      <c r="C50" s="4" t="s">
        <v>56</v>
      </c>
      <c r="D50" s="4">
        <v>7955986084</v>
      </c>
      <c r="E50" t="s">
        <v>11</v>
      </c>
      <c r="F50" s="9">
        <v>46211</v>
      </c>
      <c r="G50" s="4">
        <v>84</v>
      </c>
      <c r="H50" s="4" t="s">
        <v>210</v>
      </c>
      <c r="I50" s="4" t="s">
        <v>210</v>
      </c>
      <c r="J50" s="4" t="s">
        <v>42</v>
      </c>
      <c r="K50" s="4" t="s">
        <v>275</v>
      </c>
      <c r="L50" s="42" t="s">
        <v>276</v>
      </c>
      <c r="M50" s="4">
        <v>5</v>
      </c>
      <c r="N50" s="4">
        <v>5</v>
      </c>
      <c r="O50" s="4">
        <v>0</v>
      </c>
      <c r="P50" s="4">
        <v>0</v>
      </c>
      <c r="Q50" s="4">
        <v>15</v>
      </c>
      <c r="R50" s="4">
        <v>10</v>
      </c>
      <c r="S50" s="4">
        <v>0</v>
      </c>
      <c r="T50" s="4">
        <v>0</v>
      </c>
      <c r="U50" s="4">
        <v>35</v>
      </c>
      <c r="V50" s="4" t="s">
        <v>14</v>
      </c>
      <c r="W50" s="4" t="s">
        <v>277</v>
      </c>
    </row>
    <row r="51" spans="1:23" ht="75">
      <c r="A51" s="4">
        <v>2026</v>
      </c>
      <c r="B51" s="4" t="s">
        <v>278</v>
      </c>
      <c r="C51" s="4" t="s">
        <v>56</v>
      </c>
      <c r="D51" s="4">
        <v>7927396052</v>
      </c>
      <c r="E51" t="s">
        <v>11</v>
      </c>
      <c r="F51" s="9">
        <v>46083</v>
      </c>
      <c r="G51" s="4">
        <v>52</v>
      </c>
      <c r="H51" s="4" t="s">
        <v>192</v>
      </c>
      <c r="I51" s="4" t="s">
        <v>192</v>
      </c>
      <c r="J51" s="4" t="s">
        <v>76</v>
      </c>
      <c r="K51" s="4" t="s">
        <v>279</v>
      </c>
      <c r="L51" s="42" t="s">
        <v>280</v>
      </c>
      <c r="M51" s="4">
        <v>5</v>
      </c>
      <c r="N51" s="4">
        <v>5</v>
      </c>
      <c r="O51" s="4">
        <v>0</v>
      </c>
      <c r="P51" s="4">
        <v>0</v>
      </c>
      <c r="Q51" s="4">
        <v>15</v>
      </c>
      <c r="R51" s="4">
        <v>10</v>
      </c>
      <c r="S51" s="4">
        <v>0</v>
      </c>
      <c r="T51" s="4">
        <v>0</v>
      </c>
      <c r="U51" s="4">
        <v>35</v>
      </c>
      <c r="V51" s="4" t="s">
        <v>14</v>
      </c>
      <c r="W51" s="4" t="s">
        <v>281</v>
      </c>
    </row>
    <row r="52" spans="1:23" ht="150">
      <c r="A52" s="4">
        <v>2026</v>
      </c>
      <c r="B52" s="4" t="s">
        <v>282</v>
      </c>
      <c r="C52" s="4" t="s">
        <v>56</v>
      </c>
      <c r="D52" s="4">
        <v>7925733015</v>
      </c>
      <c r="E52" t="s">
        <v>11</v>
      </c>
      <c r="F52" s="9">
        <v>46111</v>
      </c>
      <c r="G52" s="4">
        <v>15</v>
      </c>
      <c r="H52" s="4" t="s">
        <v>283</v>
      </c>
      <c r="I52" s="4" t="s">
        <v>50</v>
      </c>
      <c r="J52" s="4" t="s">
        <v>51</v>
      </c>
      <c r="K52" s="4" t="s">
        <v>284</v>
      </c>
      <c r="L52" s="42" t="s">
        <v>285</v>
      </c>
      <c r="M52" s="4">
        <v>5</v>
      </c>
      <c r="N52" s="4">
        <v>5</v>
      </c>
      <c r="O52" s="4">
        <v>0</v>
      </c>
      <c r="P52" s="4">
        <v>0</v>
      </c>
      <c r="Q52" s="4">
        <v>15</v>
      </c>
      <c r="R52" s="4">
        <v>10</v>
      </c>
      <c r="S52" s="4">
        <v>0</v>
      </c>
      <c r="T52" s="4">
        <v>0</v>
      </c>
      <c r="U52" s="4">
        <v>35</v>
      </c>
      <c r="V52" s="4" t="s">
        <v>14</v>
      </c>
      <c r="W52" s="4" t="s">
        <v>286</v>
      </c>
    </row>
    <row r="53" spans="1:23" ht="75">
      <c r="A53" s="4">
        <v>2026</v>
      </c>
      <c r="B53" s="4" t="s">
        <v>287</v>
      </c>
      <c r="C53" s="4" t="s">
        <v>56</v>
      </c>
      <c r="D53" s="4">
        <v>7900525015</v>
      </c>
      <c r="E53" t="s">
        <v>11</v>
      </c>
      <c r="F53" s="9">
        <v>46210</v>
      </c>
      <c r="G53" s="4">
        <v>15</v>
      </c>
      <c r="H53" s="4" t="s">
        <v>283</v>
      </c>
      <c r="I53" s="4" t="s">
        <v>50</v>
      </c>
      <c r="J53" s="4" t="s">
        <v>51</v>
      </c>
      <c r="K53" s="4" t="s">
        <v>82</v>
      </c>
      <c r="L53" s="42" t="s">
        <v>288</v>
      </c>
      <c r="M53" s="4">
        <v>5</v>
      </c>
      <c r="N53" s="4">
        <v>5</v>
      </c>
      <c r="O53" s="4">
        <v>0</v>
      </c>
      <c r="P53" s="4">
        <v>0</v>
      </c>
      <c r="Q53" s="4">
        <v>15</v>
      </c>
      <c r="R53" s="4">
        <v>10</v>
      </c>
      <c r="S53" s="4">
        <v>0</v>
      </c>
      <c r="T53" s="4">
        <v>0</v>
      </c>
      <c r="U53" s="4">
        <v>35</v>
      </c>
      <c r="V53" s="4" t="s">
        <v>14</v>
      </c>
      <c r="W53" s="4" t="s">
        <v>289</v>
      </c>
    </row>
    <row r="54" spans="1:23" ht="90">
      <c r="A54" s="4">
        <v>2026</v>
      </c>
      <c r="B54" s="4" t="s">
        <v>290</v>
      </c>
      <c r="C54" s="4" t="s">
        <v>56</v>
      </c>
      <c r="D54" s="4">
        <v>7908249152</v>
      </c>
      <c r="E54" t="s">
        <v>11</v>
      </c>
      <c r="F54" s="9">
        <v>46077</v>
      </c>
      <c r="G54" s="4">
        <v>152</v>
      </c>
      <c r="H54" s="4" t="s">
        <v>291</v>
      </c>
      <c r="I54" s="4" t="s">
        <v>41</v>
      </c>
      <c r="J54" s="4" t="s">
        <v>42</v>
      </c>
      <c r="K54" s="4" t="s">
        <v>43</v>
      </c>
      <c r="L54" s="42" t="s">
        <v>292</v>
      </c>
      <c r="M54" s="4">
        <v>5</v>
      </c>
      <c r="N54" s="4">
        <v>5</v>
      </c>
      <c r="O54" s="4">
        <v>0</v>
      </c>
      <c r="P54" s="4">
        <v>0</v>
      </c>
      <c r="Q54" s="4">
        <v>15</v>
      </c>
      <c r="R54" s="4">
        <v>10</v>
      </c>
      <c r="S54" s="4">
        <v>0</v>
      </c>
      <c r="T54" s="4">
        <v>0</v>
      </c>
      <c r="U54" s="4">
        <v>35</v>
      </c>
      <c r="V54" s="4" t="s">
        <v>14</v>
      </c>
      <c r="W54" s="4" t="s">
        <v>293</v>
      </c>
    </row>
    <row r="55" spans="1:23" ht="105">
      <c r="A55" s="4">
        <v>2026</v>
      </c>
      <c r="B55" s="4" t="s">
        <v>294</v>
      </c>
      <c r="C55" s="4" t="s">
        <v>96</v>
      </c>
      <c r="D55" s="4">
        <v>7942572059</v>
      </c>
      <c r="E55" t="s">
        <v>11</v>
      </c>
      <c r="F55" s="9">
        <v>46224</v>
      </c>
      <c r="G55" s="4">
        <v>59</v>
      </c>
      <c r="H55" s="4" t="s">
        <v>62</v>
      </c>
      <c r="I55" s="4" t="s">
        <v>62</v>
      </c>
      <c r="J55" s="4" t="s">
        <v>42</v>
      </c>
      <c r="K55" s="4" t="s">
        <v>295</v>
      </c>
      <c r="L55" s="42" t="s">
        <v>296</v>
      </c>
      <c r="M55" s="4">
        <v>5</v>
      </c>
      <c r="N55" s="4">
        <v>5</v>
      </c>
      <c r="O55" s="4">
        <v>15</v>
      </c>
      <c r="P55" s="4">
        <v>0</v>
      </c>
      <c r="Q55" s="4">
        <v>0</v>
      </c>
      <c r="R55" s="4">
        <v>0</v>
      </c>
      <c r="S55" s="4">
        <v>10</v>
      </c>
      <c r="T55" s="4">
        <v>0</v>
      </c>
      <c r="U55" s="4">
        <v>35</v>
      </c>
      <c r="V55" s="4" t="s">
        <v>14</v>
      </c>
      <c r="W55" s="4" t="s">
        <v>297</v>
      </c>
    </row>
    <row r="56" spans="1:23" ht="60">
      <c r="A56" s="4">
        <v>2026</v>
      </c>
      <c r="B56" s="4" t="s">
        <v>298</v>
      </c>
      <c r="C56" s="4" t="s">
        <v>56</v>
      </c>
      <c r="D56" s="4">
        <v>7928564039</v>
      </c>
      <c r="E56" t="s">
        <v>11</v>
      </c>
      <c r="F56" s="9">
        <v>46210</v>
      </c>
      <c r="G56" s="4">
        <v>39</v>
      </c>
      <c r="H56" s="4" t="s">
        <v>267</v>
      </c>
      <c r="I56" s="4" t="s">
        <v>132</v>
      </c>
      <c r="J56" s="4" t="s">
        <v>51</v>
      </c>
      <c r="K56" s="4" t="s">
        <v>133</v>
      </c>
      <c r="L56" s="42" t="s">
        <v>299</v>
      </c>
      <c r="M56" s="4">
        <v>5</v>
      </c>
      <c r="N56" s="4">
        <v>10</v>
      </c>
      <c r="O56" s="4">
        <v>5</v>
      </c>
      <c r="P56" s="4">
        <v>0</v>
      </c>
      <c r="Q56" s="4">
        <v>0</v>
      </c>
      <c r="R56" s="4">
        <v>10</v>
      </c>
      <c r="S56" s="4">
        <v>0</v>
      </c>
      <c r="T56" s="4">
        <v>0</v>
      </c>
      <c r="U56" s="4">
        <v>30</v>
      </c>
      <c r="V56" s="4" t="s">
        <v>14</v>
      </c>
      <c r="W56" s="4" t="s">
        <v>300</v>
      </c>
    </row>
    <row r="57" spans="1:23" ht="105">
      <c r="A57" s="4">
        <v>2026</v>
      </c>
      <c r="B57" s="4" t="s">
        <v>301</v>
      </c>
      <c r="C57" s="4" t="s">
        <v>56</v>
      </c>
      <c r="D57" s="4">
        <v>5855411017</v>
      </c>
      <c r="E57" t="s">
        <v>10</v>
      </c>
      <c r="F57" s="9">
        <v>46227</v>
      </c>
      <c r="G57" s="4">
        <v>17</v>
      </c>
      <c r="H57" s="4" t="s">
        <v>302</v>
      </c>
      <c r="I57" s="4" t="s">
        <v>186</v>
      </c>
      <c r="J57" s="4" t="s">
        <v>42</v>
      </c>
      <c r="K57" s="4" t="s">
        <v>303</v>
      </c>
      <c r="L57" s="42" t="s">
        <v>304</v>
      </c>
      <c r="M57" s="4">
        <v>0</v>
      </c>
      <c r="N57" s="4">
        <v>0</v>
      </c>
      <c r="O57" s="4">
        <v>0</v>
      </c>
      <c r="P57" s="4">
        <v>10</v>
      </c>
      <c r="Q57" s="4">
        <v>20</v>
      </c>
      <c r="R57" s="4" t="s">
        <v>45</v>
      </c>
      <c r="S57" s="4" t="s">
        <v>45</v>
      </c>
      <c r="T57" s="4" t="s">
        <v>45</v>
      </c>
      <c r="U57" s="4">
        <v>30</v>
      </c>
      <c r="V57" s="4" t="s">
        <v>15</v>
      </c>
      <c r="W57" s="4" t="s">
        <v>305</v>
      </c>
    </row>
    <row r="58" spans="1:23" ht="150">
      <c r="A58" s="4">
        <v>2026</v>
      </c>
      <c r="B58" s="4" t="s">
        <v>306</v>
      </c>
      <c r="C58" s="4" t="s">
        <v>67</v>
      </c>
      <c r="D58" s="4">
        <v>7908196047</v>
      </c>
      <c r="E58" t="s">
        <v>11</v>
      </c>
      <c r="F58" s="9">
        <v>46216</v>
      </c>
      <c r="G58" s="4">
        <v>47</v>
      </c>
      <c r="H58" s="4" t="s">
        <v>191</v>
      </c>
      <c r="I58" s="4" t="s">
        <v>192</v>
      </c>
      <c r="J58" s="4" t="s">
        <v>76</v>
      </c>
      <c r="K58" s="4" t="s">
        <v>193</v>
      </c>
      <c r="L58" s="42" t="s">
        <v>307</v>
      </c>
      <c r="M58" s="4">
        <v>5</v>
      </c>
      <c r="N58" s="4">
        <v>5</v>
      </c>
      <c r="O58" s="4">
        <v>5</v>
      </c>
      <c r="P58" s="4">
        <v>0</v>
      </c>
      <c r="Q58" s="4">
        <v>0</v>
      </c>
      <c r="R58" s="4">
        <v>0</v>
      </c>
      <c r="S58" s="4">
        <v>10</v>
      </c>
      <c r="T58" s="4">
        <v>0</v>
      </c>
      <c r="U58" s="4">
        <v>25</v>
      </c>
      <c r="V58" s="4" t="s">
        <v>15</v>
      </c>
      <c r="W58" s="4" t="s">
        <v>308</v>
      </c>
    </row>
    <row r="59" spans="1:23" ht="60">
      <c r="A59" s="4">
        <v>2026</v>
      </c>
      <c r="B59" s="4" t="s">
        <v>309</v>
      </c>
      <c r="C59" s="4" t="s">
        <v>56</v>
      </c>
      <c r="D59" s="4">
        <v>7955946007</v>
      </c>
      <c r="E59" t="s">
        <v>11</v>
      </c>
      <c r="F59" s="9">
        <v>46211</v>
      </c>
      <c r="G59" s="4">
        <v>7</v>
      </c>
      <c r="H59" s="4" t="s">
        <v>186</v>
      </c>
      <c r="I59" s="4" t="s">
        <v>186</v>
      </c>
      <c r="J59" s="4" t="s">
        <v>42</v>
      </c>
      <c r="K59" s="4" t="s">
        <v>187</v>
      </c>
      <c r="L59" s="42" t="s">
        <v>310</v>
      </c>
      <c r="M59" s="4">
        <v>5</v>
      </c>
      <c r="N59" s="4">
        <v>5</v>
      </c>
      <c r="O59" s="4">
        <v>5</v>
      </c>
      <c r="P59" s="4">
        <v>0</v>
      </c>
      <c r="Q59" s="4">
        <v>0</v>
      </c>
      <c r="R59" s="4">
        <v>0</v>
      </c>
      <c r="S59" s="4">
        <v>10</v>
      </c>
      <c r="T59" s="4">
        <v>0</v>
      </c>
      <c r="U59" s="4">
        <v>25</v>
      </c>
      <c r="V59" s="4" t="s">
        <v>15</v>
      </c>
      <c r="W59" s="4" t="s">
        <v>311</v>
      </c>
    </row>
    <row r="60" spans="1:23" ht="75">
      <c r="A60" s="4">
        <v>2026</v>
      </c>
      <c r="B60" s="4" t="s">
        <v>312</v>
      </c>
      <c r="C60" s="4" t="s">
        <v>56</v>
      </c>
      <c r="D60" s="4">
        <v>7923927122</v>
      </c>
      <c r="E60" t="s">
        <v>11</v>
      </c>
      <c r="F60" s="9">
        <v>46219</v>
      </c>
      <c r="G60" s="4">
        <v>122</v>
      </c>
      <c r="H60" s="4" t="s">
        <v>68</v>
      </c>
      <c r="I60" s="4" t="s">
        <v>68</v>
      </c>
      <c r="J60" s="4" t="s">
        <v>42</v>
      </c>
      <c r="K60" s="4" t="s">
        <v>295</v>
      </c>
      <c r="L60" s="42" t="s">
        <v>313</v>
      </c>
      <c r="M60" s="4">
        <v>15</v>
      </c>
      <c r="N60" s="4">
        <v>0</v>
      </c>
      <c r="O60" s="4">
        <v>0</v>
      </c>
      <c r="P60" s="4">
        <v>0</v>
      </c>
      <c r="Q60" s="4">
        <v>0</v>
      </c>
      <c r="R60" s="4">
        <v>10</v>
      </c>
      <c r="S60" s="4">
        <v>0</v>
      </c>
      <c r="T60" s="4">
        <v>0</v>
      </c>
      <c r="U60" s="4">
        <v>25</v>
      </c>
      <c r="V60" s="4" t="s">
        <v>15</v>
      </c>
      <c r="W60" s="4" t="s">
        <v>314</v>
      </c>
    </row>
    <row r="61" spans="1:23" ht="90">
      <c r="A61" s="4">
        <v>2025</v>
      </c>
      <c r="B61" s="4" t="s">
        <v>315</v>
      </c>
      <c r="C61" s="4" t="s">
        <v>56</v>
      </c>
      <c r="D61" s="4">
        <v>7942485096</v>
      </c>
      <c r="E61" t="s">
        <v>11</v>
      </c>
      <c r="F61" s="9">
        <v>45861</v>
      </c>
      <c r="G61" s="4">
        <v>96</v>
      </c>
      <c r="H61" s="4" t="s">
        <v>316</v>
      </c>
      <c r="I61" s="4" t="s">
        <v>108</v>
      </c>
      <c r="J61" s="4" t="s">
        <v>42</v>
      </c>
      <c r="K61" s="4" t="s">
        <v>109</v>
      </c>
      <c r="L61" s="42" t="s">
        <v>317</v>
      </c>
      <c r="M61" s="4">
        <v>5</v>
      </c>
      <c r="N61" s="4">
        <v>5</v>
      </c>
      <c r="O61" s="4">
        <v>5</v>
      </c>
      <c r="P61" s="4">
        <v>0</v>
      </c>
      <c r="Q61" s="4">
        <v>0</v>
      </c>
      <c r="R61" s="4">
        <v>10</v>
      </c>
      <c r="S61" s="4">
        <v>0</v>
      </c>
      <c r="T61" s="4">
        <v>0</v>
      </c>
      <c r="U61" s="4">
        <v>25</v>
      </c>
      <c r="V61" s="4" t="s">
        <v>15</v>
      </c>
      <c r="W61" s="4" t="s">
        <v>318</v>
      </c>
    </row>
    <row r="62" spans="1:23" ht="120">
      <c r="A62" s="4">
        <v>2026</v>
      </c>
      <c r="B62" s="4" t="s">
        <v>319</v>
      </c>
      <c r="C62" s="4" t="s">
        <v>56</v>
      </c>
      <c r="D62" s="4">
        <v>7921202014</v>
      </c>
      <c r="E62" t="s">
        <v>11</v>
      </c>
      <c r="F62" s="9">
        <v>46211</v>
      </c>
      <c r="G62" s="4">
        <v>14</v>
      </c>
      <c r="H62" s="4" t="s">
        <v>126</v>
      </c>
      <c r="I62" s="4" t="s">
        <v>97</v>
      </c>
      <c r="J62" s="4" t="s">
        <v>42</v>
      </c>
      <c r="K62" s="4" t="s">
        <v>320</v>
      </c>
      <c r="L62" s="42" t="s">
        <v>321</v>
      </c>
      <c r="M62" s="4">
        <v>5</v>
      </c>
      <c r="N62" s="4">
        <v>5</v>
      </c>
      <c r="O62" s="4">
        <v>5</v>
      </c>
      <c r="P62" s="4">
        <v>0</v>
      </c>
      <c r="Q62" s="4">
        <v>0</v>
      </c>
      <c r="R62" s="4">
        <v>10</v>
      </c>
      <c r="S62" s="4">
        <v>0</v>
      </c>
      <c r="T62" s="4">
        <v>0</v>
      </c>
      <c r="U62" s="4">
        <v>25</v>
      </c>
      <c r="V62" s="4" t="s">
        <v>15</v>
      </c>
      <c r="W62" s="4" t="s">
        <v>322</v>
      </c>
    </row>
    <row r="63" spans="1:23" ht="105">
      <c r="A63" s="4">
        <v>2025</v>
      </c>
      <c r="B63" s="4" t="s">
        <v>323</v>
      </c>
      <c r="C63" s="4" t="s">
        <v>56</v>
      </c>
      <c r="D63" s="4">
        <v>7927446001</v>
      </c>
      <c r="E63" t="s">
        <v>11</v>
      </c>
      <c r="F63" s="9">
        <v>45846</v>
      </c>
      <c r="G63" s="4">
        <v>1</v>
      </c>
      <c r="H63" s="4" t="s">
        <v>41</v>
      </c>
      <c r="I63" s="4" t="s">
        <v>41</v>
      </c>
      <c r="J63" s="4" t="s">
        <v>42</v>
      </c>
      <c r="K63" s="4" t="s">
        <v>43</v>
      </c>
      <c r="L63" s="42" t="s">
        <v>324</v>
      </c>
      <c r="M63" s="4">
        <v>5</v>
      </c>
      <c r="N63" s="4">
        <v>5</v>
      </c>
      <c r="O63" s="4">
        <v>5</v>
      </c>
      <c r="P63" s="4">
        <v>0</v>
      </c>
      <c r="Q63" s="4">
        <v>0</v>
      </c>
      <c r="R63" s="4">
        <v>10</v>
      </c>
      <c r="S63" s="4">
        <v>0</v>
      </c>
      <c r="T63" s="4">
        <v>0</v>
      </c>
      <c r="U63" s="4">
        <v>25</v>
      </c>
      <c r="V63" s="4" t="s">
        <v>15</v>
      </c>
      <c r="W63" s="4" t="s">
        <v>325</v>
      </c>
    </row>
    <row r="64" spans="1:23" ht="90">
      <c r="A64" s="4">
        <v>2026</v>
      </c>
      <c r="B64" s="4" t="s">
        <v>326</v>
      </c>
      <c r="C64" s="4" t="s">
        <v>56</v>
      </c>
      <c r="D64" s="4">
        <v>7928241200</v>
      </c>
      <c r="E64" t="s">
        <v>11</v>
      </c>
      <c r="F64" s="9">
        <v>46210</v>
      </c>
      <c r="G64" s="4">
        <v>200</v>
      </c>
      <c r="H64" s="4" t="s">
        <v>327</v>
      </c>
      <c r="I64" s="4" t="s">
        <v>177</v>
      </c>
      <c r="J64" s="4" t="s">
        <v>76</v>
      </c>
      <c r="K64" s="4" t="s">
        <v>328</v>
      </c>
      <c r="L64" s="42" t="s">
        <v>329</v>
      </c>
      <c r="M64" s="4">
        <v>5</v>
      </c>
      <c r="N64" s="4">
        <v>5</v>
      </c>
      <c r="O64" s="4">
        <v>5</v>
      </c>
      <c r="P64" s="4">
        <v>0</v>
      </c>
      <c r="Q64" s="4">
        <v>0</v>
      </c>
      <c r="R64" s="4">
        <v>10</v>
      </c>
      <c r="S64" s="4">
        <v>0</v>
      </c>
      <c r="T64" s="4">
        <v>0</v>
      </c>
      <c r="U64" s="4">
        <v>25</v>
      </c>
      <c r="V64" s="4" t="s">
        <v>15</v>
      </c>
      <c r="W64" s="4" t="s">
        <v>330</v>
      </c>
    </row>
    <row r="65" spans="1:23" ht="90">
      <c r="A65" s="4">
        <v>2026</v>
      </c>
      <c r="B65" s="4" t="s">
        <v>331</v>
      </c>
      <c r="C65" s="4" t="s">
        <v>56</v>
      </c>
      <c r="D65" s="4">
        <v>7901110084</v>
      </c>
      <c r="E65" t="s">
        <v>11</v>
      </c>
      <c r="F65" s="9">
        <v>46112</v>
      </c>
      <c r="G65" s="4">
        <v>84</v>
      </c>
      <c r="H65" s="4" t="s">
        <v>210</v>
      </c>
      <c r="I65" s="4" t="s">
        <v>210</v>
      </c>
      <c r="J65" s="4" t="s">
        <v>42</v>
      </c>
      <c r="K65" s="4" t="s">
        <v>275</v>
      </c>
      <c r="L65" s="42" t="s">
        <v>332</v>
      </c>
      <c r="M65" s="4">
        <v>5</v>
      </c>
      <c r="N65" s="4">
        <v>5</v>
      </c>
      <c r="O65" s="4">
        <v>0</v>
      </c>
      <c r="P65" s="4">
        <v>0</v>
      </c>
      <c r="Q65" s="4">
        <v>0</v>
      </c>
      <c r="R65" s="4">
        <v>0</v>
      </c>
      <c r="S65" s="4">
        <v>10</v>
      </c>
      <c r="T65" s="4">
        <v>0</v>
      </c>
      <c r="U65" s="4">
        <v>20</v>
      </c>
      <c r="V65" s="4" t="s">
        <v>15</v>
      </c>
      <c r="W65" s="4" t="s">
        <v>333</v>
      </c>
    </row>
    <row r="66" spans="1:23" ht="75">
      <c r="A66" s="4">
        <v>2026</v>
      </c>
      <c r="B66" s="4" t="s">
        <v>334</v>
      </c>
      <c r="C66" s="4" t="s">
        <v>56</v>
      </c>
      <c r="D66" s="4">
        <v>7913662076</v>
      </c>
      <c r="E66" t="s">
        <v>11</v>
      </c>
      <c r="F66" s="9">
        <v>46183</v>
      </c>
      <c r="G66" s="4">
        <v>76</v>
      </c>
      <c r="H66" s="4" t="s">
        <v>335</v>
      </c>
      <c r="I66" s="4" t="s">
        <v>336</v>
      </c>
      <c r="J66" s="4" t="s">
        <v>76</v>
      </c>
      <c r="K66" s="4" t="s">
        <v>337</v>
      </c>
      <c r="L66" s="42" t="s">
        <v>338</v>
      </c>
      <c r="M66" s="4">
        <v>5</v>
      </c>
      <c r="N66" s="4">
        <v>5</v>
      </c>
      <c r="O66" s="4">
        <v>0</v>
      </c>
      <c r="P66" s="4">
        <v>0</v>
      </c>
      <c r="Q66" s="4">
        <v>0</v>
      </c>
      <c r="R66" s="4">
        <v>10</v>
      </c>
      <c r="S66" s="4">
        <v>0</v>
      </c>
      <c r="T66" s="4">
        <v>0</v>
      </c>
      <c r="U66" s="4">
        <v>20</v>
      </c>
      <c r="V66" s="4" t="s">
        <v>15</v>
      </c>
      <c r="W66" s="4" t="s">
        <v>339</v>
      </c>
    </row>
    <row r="67" spans="1:23" ht="60">
      <c r="A67" s="4">
        <v>2026</v>
      </c>
      <c r="B67" s="4" t="s">
        <v>340</v>
      </c>
      <c r="C67" s="4" t="s">
        <v>73</v>
      </c>
      <c r="D67" s="4">
        <v>5862236091</v>
      </c>
      <c r="E67" t="s">
        <v>10</v>
      </c>
      <c r="F67" s="9">
        <v>46223</v>
      </c>
      <c r="G67" s="4">
        <v>91</v>
      </c>
      <c r="H67" s="4" t="s">
        <v>74</v>
      </c>
      <c r="I67" s="4" t="s">
        <v>75</v>
      </c>
      <c r="J67" s="4" t="s">
        <v>76</v>
      </c>
      <c r="K67" s="4" t="s">
        <v>341</v>
      </c>
      <c r="L67" s="42" t="s">
        <v>342</v>
      </c>
      <c r="M67" s="4">
        <v>0</v>
      </c>
      <c r="N67" s="4">
        <v>0</v>
      </c>
      <c r="O67" s="4">
        <v>0</v>
      </c>
      <c r="P67" s="4">
        <v>20</v>
      </c>
      <c r="Q67" s="4">
        <v>0</v>
      </c>
      <c r="R67" s="4" t="s">
        <v>45</v>
      </c>
      <c r="S67" s="4" t="s">
        <v>45</v>
      </c>
      <c r="T67" s="4" t="s">
        <v>45</v>
      </c>
      <c r="U67" s="4">
        <v>20</v>
      </c>
      <c r="V67" s="4" t="s">
        <v>15</v>
      </c>
      <c r="W67" s="4" t="s">
        <v>343</v>
      </c>
    </row>
    <row r="68" spans="1:23" ht="30">
      <c r="A68" s="4">
        <v>2026</v>
      </c>
      <c r="B68" s="4" t="s">
        <v>344</v>
      </c>
      <c r="C68" s="4" t="s">
        <v>56</v>
      </c>
      <c r="D68" s="4">
        <v>5836786094</v>
      </c>
      <c r="E68" t="s">
        <v>10</v>
      </c>
      <c r="F68" s="9">
        <v>46160</v>
      </c>
      <c r="G68" s="4">
        <v>94</v>
      </c>
      <c r="H68" s="4" t="s">
        <v>177</v>
      </c>
      <c r="I68" s="4" t="s">
        <v>177</v>
      </c>
      <c r="J68" s="4" t="s">
        <v>76</v>
      </c>
      <c r="K68" s="4" t="s">
        <v>263</v>
      </c>
      <c r="L68" s="42" t="s">
        <v>345</v>
      </c>
      <c r="M68" s="4">
        <v>0</v>
      </c>
      <c r="N68" s="4">
        <v>0</v>
      </c>
      <c r="O68" s="4">
        <v>0</v>
      </c>
      <c r="P68" s="4">
        <v>10</v>
      </c>
      <c r="Q68" s="4">
        <v>10</v>
      </c>
      <c r="R68" s="4" t="s">
        <v>45</v>
      </c>
      <c r="S68" s="4" t="s">
        <v>45</v>
      </c>
      <c r="T68" s="4" t="s">
        <v>45</v>
      </c>
      <c r="U68" s="4">
        <v>20</v>
      </c>
      <c r="V68" s="4" t="s">
        <v>15</v>
      </c>
      <c r="W68" s="4" t="s">
        <v>346</v>
      </c>
    </row>
    <row r="69" spans="1:23" ht="210">
      <c r="A69" s="4">
        <v>2026</v>
      </c>
      <c r="B69" s="4" t="s">
        <v>347</v>
      </c>
      <c r="C69" s="4" t="s">
        <v>125</v>
      </c>
      <c r="D69" s="4">
        <v>7919270014</v>
      </c>
      <c r="E69" t="s">
        <v>11</v>
      </c>
      <c r="F69" s="9">
        <v>46225</v>
      </c>
      <c r="G69" s="4">
        <v>14</v>
      </c>
      <c r="H69" s="4" t="s">
        <v>126</v>
      </c>
      <c r="I69" s="4" t="s">
        <v>97</v>
      </c>
      <c r="J69" s="4" t="s">
        <v>42</v>
      </c>
      <c r="K69" s="4" t="s">
        <v>348</v>
      </c>
      <c r="L69" s="42" t="s">
        <v>349</v>
      </c>
      <c r="M69" s="4">
        <v>5</v>
      </c>
      <c r="N69" s="4">
        <v>5</v>
      </c>
      <c r="O69" s="4">
        <v>0</v>
      </c>
      <c r="P69" s="4">
        <v>0</v>
      </c>
      <c r="Q69" s="4">
        <v>0</v>
      </c>
      <c r="R69" s="4">
        <v>10</v>
      </c>
      <c r="S69" s="4">
        <v>0</v>
      </c>
      <c r="T69" s="4">
        <v>0</v>
      </c>
      <c r="U69" s="4">
        <v>20</v>
      </c>
      <c r="V69" s="4" t="s">
        <v>15</v>
      </c>
      <c r="W69" s="4" t="s">
        <v>350</v>
      </c>
    </row>
    <row r="70" spans="1:23" ht="135">
      <c r="A70" s="4">
        <v>2026</v>
      </c>
      <c r="B70" s="4" t="s">
        <v>351</v>
      </c>
      <c r="C70" s="4" t="s">
        <v>56</v>
      </c>
      <c r="D70" s="4">
        <v>7926442035</v>
      </c>
      <c r="E70" t="s">
        <v>11</v>
      </c>
      <c r="F70" s="9">
        <v>46099</v>
      </c>
      <c r="G70" s="4">
        <v>35</v>
      </c>
      <c r="H70" s="4" t="s">
        <v>234</v>
      </c>
      <c r="I70" s="4" t="s">
        <v>108</v>
      </c>
      <c r="J70" s="4" t="s">
        <v>42</v>
      </c>
      <c r="K70" s="4" t="s">
        <v>235</v>
      </c>
      <c r="L70" s="42" t="s">
        <v>352</v>
      </c>
      <c r="M70" s="4">
        <v>5</v>
      </c>
      <c r="N70" s="4">
        <v>5</v>
      </c>
      <c r="O70" s="4">
        <v>0</v>
      </c>
      <c r="P70" s="4">
        <v>0</v>
      </c>
      <c r="Q70" s="4">
        <v>0</v>
      </c>
      <c r="R70" s="4">
        <v>0</v>
      </c>
      <c r="S70" s="4">
        <v>10</v>
      </c>
      <c r="T70" s="4">
        <v>0</v>
      </c>
      <c r="U70" s="4">
        <v>20</v>
      </c>
      <c r="V70" s="4" t="s">
        <v>15</v>
      </c>
      <c r="W70" s="4" t="s">
        <v>353</v>
      </c>
    </row>
    <row r="71" spans="1:23" ht="105">
      <c r="A71" s="4">
        <v>2026</v>
      </c>
      <c r="B71" s="4" t="s">
        <v>354</v>
      </c>
      <c r="C71" s="4" t="s">
        <v>56</v>
      </c>
      <c r="D71" s="4">
        <v>7938137007</v>
      </c>
      <c r="E71" t="s">
        <v>11</v>
      </c>
      <c r="F71" s="9">
        <v>46218</v>
      </c>
      <c r="G71" s="4">
        <v>7</v>
      </c>
      <c r="H71" s="4" t="s">
        <v>186</v>
      </c>
      <c r="I71" s="4" t="s">
        <v>186</v>
      </c>
      <c r="J71" s="4" t="s">
        <v>42</v>
      </c>
      <c r="K71" s="4" t="s">
        <v>303</v>
      </c>
      <c r="L71" s="42" t="s">
        <v>355</v>
      </c>
      <c r="M71" s="4">
        <v>5</v>
      </c>
      <c r="N71" s="4">
        <v>5</v>
      </c>
      <c r="O71" s="4">
        <v>5</v>
      </c>
      <c r="P71" s="4">
        <v>0</v>
      </c>
      <c r="Q71" s="4">
        <v>0</v>
      </c>
      <c r="R71" s="4">
        <v>0</v>
      </c>
      <c r="S71" s="4">
        <v>0</v>
      </c>
      <c r="T71" s="4">
        <v>0</v>
      </c>
      <c r="U71" s="4">
        <v>15</v>
      </c>
      <c r="V71" s="4" t="s">
        <v>15</v>
      </c>
      <c r="W71" s="4" t="s">
        <v>356</v>
      </c>
    </row>
    <row r="72" spans="1:23" ht="150">
      <c r="A72" s="4">
        <v>2026</v>
      </c>
      <c r="B72" s="4" t="s">
        <v>357</v>
      </c>
      <c r="C72" s="4" t="s">
        <v>73</v>
      </c>
      <c r="D72" s="4">
        <v>5856156091</v>
      </c>
      <c r="E72" t="s">
        <v>10</v>
      </c>
      <c r="F72" s="9">
        <v>46202</v>
      </c>
      <c r="G72" s="4">
        <v>91</v>
      </c>
      <c r="H72" s="4" t="s">
        <v>74</v>
      </c>
      <c r="I72" s="4" t="s">
        <v>75</v>
      </c>
      <c r="J72" s="4" t="s">
        <v>76</v>
      </c>
      <c r="K72" s="4" t="s">
        <v>77</v>
      </c>
      <c r="L72" s="42" t="s">
        <v>358</v>
      </c>
      <c r="M72" s="4">
        <v>0</v>
      </c>
      <c r="N72" s="4">
        <v>0</v>
      </c>
      <c r="O72" s="4">
        <v>0</v>
      </c>
      <c r="P72" s="4">
        <v>0</v>
      </c>
      <c r="Q72" s="4">
        <v>0</v>
      </c>
      <c r="R72" s="4" t="s">
        <v>45</v>
      </c>
      <c r="S72" s="4" t="s">
        <v>45</v>
      </c>
      <c r="T72" s="4" t="s">
        <v>45</v>
      </c>
      <c r="U72" s="4">
        <v>0</v>
      </c>
      <c r="V72" s="4" t="s">
        <v>15</v>
      </c>
      <c r="W72" s="4" t="s">
        <v>359</v>
      </c>
    </row>
    <row r="73" spans="1:23" ht="135">
      <c r="A73" s="4">
        <v>2026</v>
      </c>
      <c r="B73" s="4" t="s">
        <v>360</v>
      </c>
      <c r="C73" s="4" t="s">
        <v>67</v>
      </c>
      <c r="D73" s="4">
        <v>5858783119</v>
      </c>
      <c r="E73" t="s">
        <v>10</v>
      </c>
      <c r="F73" s="9">
        <v>46230</v>
      </c>
      <c r="G73" s="4">
        <v>119</v>
      </c>
      <c r="H73" s="4" t="s">
        <v>361</v>
      </c>
      <c r="I73" s="4" t="s">
        <v>223</v>
      </c>
      <c r="J73" s="4" t="s">
        <v>51</v>
      </c>
      <c r="K73" s="4" t="s">
        <v>362</v>
      </c>
      <c r="L73" s="42" t="s">
        <v>363</v>
      </c>
      <c r="M73" s="4">
        <v>0</v>
      </c>
      <c r="N73" s="4">
        <v>0</v>
      </c>
      <c r="O73" s="4">
        <v>0</v>
      </c>
      <c r="P73" s="4">
        <v>0</v>
      </c>
      <c r="Q73" s="4">
        <v>0</v>
      </c>
      <c r="R73" s="4" t="s">
        <v>45</v>
      </c>
      <c r="S73" s="4" t="s">
        <v>45</v>
      </c>
      <c r="T73" s="4" t="s">
        <v>45</v>
      </c>
      <c r="U73" s="4">
        <v>0</v>
      </c>
      <c r="V73" s="4" t="s">
        <v>15</v>
      </c>
      <c r="W73" s="4" t="s">
        <v>364</v>
      </c>
    </row>
    <row r="74" spans="1:23" ht="60">
      <c r="A74" s="4">
        <v>2026</v>
      </c>
      <c r="B74" s="4" t="s">
        <v>365</v>
      </c>
      <c r="C74" s="4" t="s">
        <v>67</v>
      </c>
      <c r="D74" s="4">
        <v>7955832052</v>
      </c>
      <c r="E74" t="s">
        <v>11</v>
      </c>
      <c r="F74" s="9">
        <v>46207</v>
      </c>
      <c r="G74" s="4">
        <v>52</v>
      </c>
      <c r="H74" s="4" t="s">
        <v>192</v>
      </c>
      <c r="I74" s="4" t="s">
        <v>192</v>
      </c>
      <c r="J74" s="4" t="s">
        <v>76</v>
      </c>
      <c r="K74" s="4" t="s">
        <v>366</v>
      </c>
      <c r="L74" s="42" t="s">
        <v>367</v>
      </c>
      <c r="U74" s="4">
        <v>0</v>
      </c>
      <c r="V74" s="4" t="s">
        <v>368</v>
      </c>
    </row>
    <row r="75" spans="1:23" ht="60">
      <c r="A75" s="4">
        <v>2026</v>
      </c>
      <c r="B75" s="4" t="s">
        <v>369</v>
      </c>
      <c r="C75" s="4" t="s">
        <v>56</v>
      </c>
      <c r="D75" s="4">
        <v>7930359149</v>
      </c>
      <c r="E75" t="s">
        <v>11</v>
      </c>
      <c r="F75" s="9">
        <v>46216</v>
      </c>
      <c r="G75" s="4">
        <v>149</v>
      </c>
      <c r="H75" s="4" t="s">
        <v>257</v>
      </c>
      <c r="I75" s="4" t="s">
        <v>210</v>
      </c>
      <c r="J75" s="4" t="s">
        <v>42</v>
      </c>
      <c r="K75" s="4" t="s">
        <v>370</v>
      </c>
      <c r="L75" s="42" t="s">
        <v>371</v>
      </c>
      <c r="U75" s="4">
        <v>0</v>
      </c>
      <c r="V75" s="4" t="s">
        <v>368</v>
      </c>
    </row>
    <row r="76" spans="1:23" ht="30">
      <c r="A76" s="4">
        <v>2026</v>
      </c>
      <c r="B76" s="4" t="s">
        <v>372</v>
      </c>
      <c r="C76" s="4" t="s">
        <v>67</v>
      </c>
      <c r="D76" s="4">
        <v>7902098003</v>
      </c>
      <c r="E76" t="s">
        <v>11</v>
      </c>
      <c r="F76" s="9">
        <v>46188</v>
      </c>
      <c r="G76" s="4">
        <v>3</v>
      </c>
      <c r="H76" s="4" t="s">
        <v>336</v>
      </c>
      <c r="I76" s="4" t="s">
        <v>336</v>
      </c>
      <c r="J76" s="4" t="s">
        <v>76</v>
      </c>
      <c r="K76" s="4" t="s">
        <v>373</v>
      </c>
      <c r="L76" s="42" t="s">
        <v>374</v>
      </c>
      <c r="U76" s="4">
        <v>0</v>
      </c>
      <c r="V76" s="4" t="s">
        <v>368</v>
      </c>
    </row>
    <row r="77" spans="1:23" ht="45">
      <c r="A77" s="4">
        <v>2026</v>
      </c>
      <c r="B77" s="4" t="s">
        <v>375</v>
      </c>
      <c r="C77" s="4" t="s">
        <v>56</v>
      </c>
      <c r="D77" s="4">
        <v>7953211079</v>
      </c>
      <c r="E77" t="s">
        <v>11</v>
      </c>
      <c r="F77" s="9">
        <v>46219</v>
      </c>
      <c r="G77" s="4">
        <v>79</v>
      </c>
      <c r="H77" s="4" t="s">
        <v>376</v>
      </c>
      <c r="I77" s="4" t="s">
        <v>50</v>
      </c>
      <c r="J77" s="4" t="s">
        <v>51</v>
      </c>
      <c r="K77" s="4" t="s">
        <v>377</v>
      </c>
      <c r="L77" s="42" t="s">
        <v>378</v>
      </c>
      <c r="U77" s="4">
        <v>0</v>
      </c>
      <c r="V77" s="4" t="s">
        <v>368</v>
      </c>
    </row>
    <row r="78" spans="1:23" ht="30">
      <c r="A78" s="4">
        <v>2026</v>
      </c>
      <c r="B78" s="4" t="s">
        <v>379</v>
      </c>
      <c r="C78" s="4" t="s">
        <v>67</v>
      </c>
      <c r="D78" s="4">
        <v>7949648145</v>
      </c>
      <c r="E78" t="s">
        <v>11</v>
      </c>
      <c r="F78" s="9">
        <v>46186</v>
      </c>
      <c r="G78" s="4">
        <v>145</v>
      </c>
      <c r="H78" s="4" t="s">
        <v>380</v>
      </c>
      <c r="I78" s="4" t="s">
        <v>132</v>
      </c>
      <c r="J78" s="4" t="s">
        <v>51</v>
      </c>
      <c r="K78" s="4" t="s">
        <v>381</v>
      </c>
      <c r="L78" s="42" t="s">
        <v>382</v>
      </c>
      <c r="U78" s="4">
        <v>0</v>
      </c>
      <c r="V78" s="4" t="s">
        <v>368</v>
      </c>
    </row>
    <row r="79" spans="1:23" ht="30">
      <c r="A79" s="4">
        <v>2026</v>
      </c>
      <c r="B79" s="4" t="s">
        <v>383</v>
      </c>
      <c r="C79" s="4" t="s">
        <v>67</v>
      </c>
      <c r="D79" s="4">
        <v>7908300096</v>
      </c>
      <c r="E79" t="s">
        <v>11</v>
      </c>
      <c r="F79" s="9">
        <v>46191</v>
      </c>
      <c r="G79" s="4">
        <v>96</v>
      </c>
      <c r="H79" s="4" t="s">
        <v>316</v>
      </c>
      <c r="I79" s="4" t="s">
        <v>108</v>
      </c>
      <c r="J79" s="4" t="s">
        <v>42</v>
      </c>
      <c r="K79" s="4" t="s">
        <v>109</v>
      </c>
      <c r="L79" s="42" t="s">
        <v>384</v>
      </c>
      <c r="U79" s="4">
        <v>0</v>
      </c>
      <c r="V79" s="4" t="s">
        <v>368</v>
      </c>
    </row>
    <row r="80" spans="1:23" ht="60">
      <c r="A80" s="4">
        <v>2026</v>
      </c>
      <c r="B80" s="4" t="s">
        <v>385</v>
      </c>
      <c r="C80" s="4" t="s">
        <v>67</v>
      </c>
      <c r="D80" s="4">
        <v>7953570026</v>
      </c>
      <c r="E80" t="s">
        <v>11</v>
      </c>
      <c r="F80" s="9">
        <v>46179</v>
      </c>
      <c r="G80" s="4">
        <v>26</v>
      </c>
      <c r="H80" s="4" t="s">
        <v>108</v>
      </c>
      <c r="I80" s="4" t="s">
        <v>108</v>
      </c>
      <c r="J80" s="4" t="s">
        <v>42</v>
      </c>
      <c r="K80" s="4" t="s">
        <v>109</v>
      </c>
      <c r="L80" s="42" t="s">
        <v>386</v>
      </c>
      <c r="U80" s="4">
        <v>0</v>
      </c>
      <c r="V80" s="4" t="s">
        <v>368</v>
      </c>
    </row>
    <row r="81" spans="1:22" ht="30">
      <c r="A81" s="4">
        <v>2026</v>
      </c>
      <c r="B81" s="4" t="s">
        <v>387</v>
      </c>
      <c r="C81" s="4" t="s">
        <v>388</v>
      </c>
      <c r="D81" s="4">
        <v>7911120026</v>
      </c>
      <c r="E81" t="s">
        <v>11</v>
      </c>
      <c r="F81" s="9">
        <v>46204</v>
      </c>
      <c r="G81" s="4">
        <v>26</v>
      </c>
      <c r="H81" s="4" t="s">
        <v>108</v>
      </c>
      <c r="I81" s="4" t="s">
        <v>108</v>
      </c>
      <c r="J81" s="4" t="s">
        <v>42</v>
      </c>
      <c r="K81" s="4" t="s">
        <v>109</v>
      </c>
      <c r="L81" s="42" t="s">
        <v>389</v>
      </c>
      <c r="U81" s="4">
        <v>0</v>
      </c>
      <c r="V81" s="4" t="s">
        <v>368</v>
      </c>
    </row>
    <row r="82" spans="1:22" ht="45">
      <c r="A82" s="4">
        <v>2026</v>
      </c>
      <c r="B82" s="4" t="s">
        <v>390</v>
      </c>
      <c r="C82" s="4" t="s">
        <v>67</v>
      </c>
      <c r="D82" s="4">
        <v>7908716091</v>
      </c>
      <c r="E82" t="s">
        <v>11</v>
      </c>
      <c r="F82" s="9">
        <v>46223</v>
      </c>
      <c r="G82" s="4">
        <v>91</v>
      </c>
      <c r="H82" s="4" t="s">
        <v>74</v>
      </c>
      <c r="I82" s="4" t="s">
        <v>75</v>
      </c>
      <c r="J82" s="4" t="s">
        <v>76</v>
      </c>
      <c r="K82" s="4" t="s">
        <v>109</v>
      </c>
      <c r="L82" s="42" t="s">
        <v>391</v>
      </c>
      <c r="V82" s="4" t="s">
        <v>368</v>
      </c>
    </row>
    <row r="83" spans="1:22" ht="75">
      <c r="A83" s="4">
        <v>2026</v>
      </c>
      <c r="B83" s="4" t="s">
        <v>392</v>
      </c>
      <c r="C83" s="4" t="s">
        <v>67</v>
      </c>
      <c r="D83" s="4">
        <v>5848305116</v>
      </c>
      <c r="E83" t="s">
        <v>10</v>
      </c>
      <c r="F83" s="9">
        <v>46218</v>
      </c>
      <c r="G83" s="4">
        <v>116</v>
      </c>
      <c r="H83" s="4" t="s">
        <v>200</v>
      </c>
      <c r="I83" s="4" t="s">
        <v>75</v>
      </c>
      <c r="J83" s="4" t="s">
        <v>76</v>
      </c>
      <c r="K83" s="4" t="s">
        <v>77</v>
      </c>
      <c r="L83" s="42" t="s">
        <v>393</v>
      </c>
      <c r="V83" s="4" t="s">
        <v>368</v>
      </c>
    </row>
    <row r="84" spans="1:22" ht="30">
      <c r="A84" s="4">
        <v>2026</v>
      </c>
      <c r="B84" s="4" t="s">
        <v>394</v>
      </c>
      <c r="C84" s="4" t="s">
        <v>67</v>
      </c>
      <c r="D84" s="4">
        <v>7961368005</v>
      </c>
      <c r="E84" t="s">
        <v>11</v>
      </c>
      <c r="F84" s="9">
        <v>46219</v>
      </c>
      <c r="G84" s="4">
        <v>5</v>
      </c>
      <c r="H84" s="4" t="s">
        <v>395</v>
      </c>
      <c r="I84" s="4" t="s">
        <v>75</v>
      </c>
      <c r="J84" s="4" t="s">
        <v>76</v>
      </c>
      <c r="K84" s="4" t="s">
        <v>396</v>
      </c>
      <c r="L84" s="42" t="s">
        <v>397</v>
      </c>
      <c r="V84" s="4" t="s">
        <v>368</v>
      </c>
    </row>
    <row r="85" spans="1:22" ht="30">
      <c r="A85" s="4">
        <v>2026</v>
      </c>
      <c r="B85" s="4" t="s">
        <v>398</v>
      </c>
      <c r="C85" s="4" t="s">
        <v>67</v>
      </c>
      <c r="D85" s="4">
        <v>7929663074</v>
      </c>
      <c r="E85" t="s">
        <v>11</v>
      </c>
      <c r="F85" s="9">
        <v>46226</v>
      </c>
      <c r="G85" s="4">
        <v>74</v>
      </c>
      <c r="H85" s="4" t="s">
        <v>75</v>
      </c>
      <c r="I85" s="4" t="s">
        <v>75</v>
      </c>
      <c r="J85" s="4" t="s">
        <v>76</v>
      </c>
      <c r="K85" s="4" t="s">
        <v>399</v>
      </c>
      <c r="L85" s="42" t="s">
        <v>400</v>
      </c>
      <c r="V85" s="4" t="s">
        <v>368</v>
      </c>
    </row>
    <row r="86" spans="1:22">
      <c r="A86" s="4">
        <v>2026</v>
      </c>
      <c r="B86" s="4" t="s">
        <v>401</v>
      </c>
      <c r="C86" s="4" t="s">
        <v>67</v>
      </c>
      <c r="D86" s="4">
        <v>7900722193</v>
      </c>
      <c r="E86" t="s">
        <v>11</v>
      </c>
      <c r="F86" s="9">
        <v>46227</v>
      </c>
      <c r="G86" s="4">
        <v>193</v>
      </c>
      <c r="H86" s="4" t="s">
        <v>402</v>
      </c>
      <c r="I86" s="4" t="s">
        <v>57</v>
      </c>
      <c r="J86" s="4" t="s">
        <v>51</v>
      </c>
      <c r="K86" s="4" t="s">
        <v>403</v>
      </c>
      <c r="L86" s="42" t="s">
        <v>404</v>
      </c>
      <c r="V86" s="4" t="s">
        <v>368</v>
      </c>
    </row>
    <row r="87" spans="1:22" ht="45">
      <c r="A87" s="4">
        <v>2026</v>
      </c>
      <c r="B87" s="4" t="s">
        <v>405</v>
      </c>
      <c r="C87" s="4" t="s">
        <v>67</v>
      </c>
      <c r="D87" s="4">
        <v>7955792076</v>
      </c>
      <c r="E87" t="s">
        <v>11</v>
      </c>
      <c r="F87" s="9">
        <v>46215</v>
      </c>
      <c r="G87" s="4">
        <v>76</v>
      </c>
      <c r="H87" s="4" t="s">
        <v>335</v>
      </c>
      <c r="I87" s="4" t="s">
        <v>336</v>
      </c>
      <c r="J87" s="4" t="s">
        <v>76</v>
      </c>
      <c r="K87" s="4" t="s">
        <v>406</v>
      </c>
      <c r="L87" s="42" t="s">
        <v>407</v>
      </c>
      <c r="V87" s="4" t="s">
        <v>368</v>
      </c>
    </row>
    <row r="88" spans="1:22" ht="135">
      <c r="A88" s="4">
        <v>2026</v>
      </c>
      <c r="B88" s="4" t="s">
        <v>408</v>
      </c>
      <c r="C88" s="4" t="s">
        <v>67</v>
      </c>
      <c r="D88" s="4">
        <v>5839141113</v>
      </c>
      <c r="E88" t="s">
        <v>10</v>
      </c>
      <c r="F88" s="9">
        <v>46210</v>
      </c>
      <c r="G88" s="4">
        <v>113</v>
      </c>
      <c r="H88" s="4" t="s">
        <v>409</v>
      </c>
      <c r="I88" s="4" t="s">
        <v>50</v>
      </c>
      <c r="J88" s="4" t="s">
        <v>51</v>
      </c>
      <c r="K88" s="4" t="s">
        <v>410</v>
      </c>
      <c r="L88" s="42" t="s">
        <v>411</v>
      </c>
      <c r="V88" s="4" t="s">
        <v>368</v>
      </c>
    </row>
    <row r="89" spans="1:22">
      <c r="A89" s="4">
        <v>2026</v>
      </c>
      <c r="B89" s="4" t="s">
        <v>412</v>
      </c>
      <c r="C89" s="4" t="s">
        <v>67</v>
      </c>
      <c r="D89" s="4">
        <v>7908683122</v>
      </c>
      <c r="E89" t="s">
        <v>11</v>
      </c>
      <c r="F89" s="9">
        <v>46213</v>
      </c>
      <c r="G89" s="4">
        <v>122</v>
      </c>
      <c r="H89" s="4" t="s">
        <v>68</v>
      </c>
      <c r="I89" s="4" t="s">
        <v>68</v>
      </c>
      <c r="J89" s="4" t="s">
        <v>42</v>
      </c>
      <c r="K89" s="4" t="s">
        <v>413</v>
      </c>
      <c r="L89" s="42" t="s">
        <v>414</v>
      </c>
      <c r="V89" s="4" t="s">
        <v>368</v>
      </c>
    </row>
    <row r="90" spans="1:22" ht="45">
      <c r="A90" s="4">
        <v>2026</v>
      </c>
      <c r="B90" s="4" t="s">
        <v>415</v>
      </c>
      <c r="C90" s="4" t="s">
        <v>67</v>
      </c>
      <c r="D90" s="4">
        <v>7923110021</v>
      </c>
      <c r="E90" t="s">
        <v>11</v>
      </c>
      <c r="F90" s="9">
        <v>46226</v>
      </c>
      <c r="G90" s="4">
        <v>21</v>
      </c>
      <c r="H90" s="4" t="s">
        <v>176</v>
      </c>
      <c r="I90" s="4" t="s">
        <v>177</v>
      </c>
      <c r="J90" s="4" t="s">
        <v>76</v>
      </c>
      <c r="K90" s="4" t="s">
        <v>416</v>
      </c>
      <c r="L90" s="42" t="s">
        <v>417</v>
      </c>
      <c r="V90" s="4" t="s">
        <v>368</v>
      </c>
    </row>
    <row r="91" spans="1:22" ht="45">
      <c r="A91" s="4">
        <v>2026</v>
      </c>
      <c r="B91" s="4" t="s">
        <v>418</v>
      </c>
      <c r="C91" s="4" t="s">
        <v>67</v>
      </c>
      <c r="D91" s="4">
        <v>7900001096</v>
      </c>
      <c r="E91" t="s">
        <v>11</v>
      </c>
      <c r="F91" s="9">
        <v>46223</v>
      </c>
      <c r="G91" s="4">
        <v>96</v>
      </c>
      <c r="H91" s="4" t="s">
        <v>316</v>
      </c>
      <c r="I91" s="4" t="s">
        <v>108</v>
      </c>
      <c r="J91" s="4" t="s">
        <v>42</v>
      </c>
      <c r="K91" s="4" t="s">
        <v>109</v>
      </c>
      <c r="L91" s="42" t="s">
        <v>419</v>
      </c>
      <c r="V91" s="4" t="s">
        <v>368</v>
      </c>
    </row>
    <row r="92" spans="1:22" ht="30">
      <c r="A92" s="4">
        <v>2026</v>
      </c>
      <c r="B92" s="4" t="s">
        <v>420</v>
      </c>
      <c r="C92" s="4" t="s">
        <v>67</v>
      </c>
      <c r="D92" s="4">
        <v>7900451096</v>
      </c>
      <c r="E92" t="s">
        <v>11</v>
      </c>
      <c r="F92" s="9">
        <v>46223</v>
      </c>
      <c r="G92" s="4">
        <v>96</v>
      </c>
      <c r="H92" s="4" t="s">
        <v>316</v>
      </c>
      <c r="I92" s="4" t="s">
        <v>108</v>
      </c>
      <c r="J92" s="4" t="s">
        <v>42</v>
      </c>
      <c r="K92" s="4" t="s">
        <v>109</v>
      </c>
      <c r="L92" s="42" t="s">
        <v>421</v>
      </c>
      <c r="V92" s="4" t="s">
        <v>368</v>
      </c>
    </row>
    <row r="93" spans="1:22" ht="30">
      <c r="A93" s="4">
        <v>2026</v>
      </c>
      <c r="B93" s="4" t="s">
        <v>422</v>
      </c>
      <c r="C93" s="4" t="s">
        <v>67</v>
      </c>
      <c r="D93" s="4">
        <v>7900259096</v>
      </c>
      <c r="E93" t="s">
        <v>11</v>
      </c>
      <c r="F93" s="9">
        <v>46223</v>
      </c>
      <c r="G93" s="4">
        <v>96</v>
      </c>
      <c r="H93" s="4" t="s">
        <v>316</v>
      </c>
      <c r="I93" s="4" t="s">
        <v>108</v>
      </c>
      <c r="J93" s="4" t="s">
        <v>42</v>
      </c>
      <c r="K93" s="4" t="s">
        <v>109</v>
      </c>
      <c r="L93" s="42" t="s">
        <v>423</v>
      </c>
      <c r="V93" s="4" t="s">
        <v>368</v>
      </c>
    </row>
    <row r="94" spans="1:22" ht="30">
      <c r="A94" s="4">
        <v>2026</v>
      </c>
      <c r="B94" s="4" t="s">
        <v>424</v>
      </c>
      <c r="C94" s="4" t="s">
        <v>67</v>
      </c>
      <c r="D94" s="4">
        <v>7962734119</v>
      </c>
      <c r="E94" t="s">
        <v>11</v>
      </c>
      <c r="F94" s="9">
        <v>46219</v>
      </c>
      <c r="G94" s="4">
        <v>119</v>
      </c>
      <c r="H94" s="4" t="s">
        <v>361</v>
      </c>
      <c r="I94" s="4" t="s">
        <v>223</v>
      </c>
      <c r="J94" s="4" t="s">
        <v>51</v>
      </c>
      <c r="K94" s="4" t="s">
        <v>362</v>
      </c>
      <c r="L94" s="42" t="s">
        <v>425</v>
      </c>
      <c r="V94" s="4" t="s">
        <v>368</v>
      </c>
    </row>
  </sheetData>
  <conditionalFormatting sqref="D1:D1048576">
    <cfRule type="duplicateValues" dxfId="100" priority="22"/>
  </conditionalFormatting>
  <conditionalFormatting sqref="D2:D94">
    <cfRule type="duplicateValues" dxfId="99" priority="61"/>
  </conditionalFormatting>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4AE06-8DDE-4A08-B07D-B3D96DDBC7BF}">
  <dimension ref="A1:W117"/>
  <sheetViews>
    <sheetView workbookViewId="0"/>
  </sheetViews>
  <sheetFormatPr defaultRowHeight="15"/>
  <cols>
    <col min="1" max="1" width="11" bestFit="1" customWidth="1"/>
    <col min="2" max="2" width="7.140625" bestFit="1" customWidth="1"/>
    <col min="3" max="3" width="29.140625" bestFit="1" customWidth="1"/>
    <col min="4" max="4" width="25.140625" bestFit="1" customWidth="1"/>
    <col min="5" max="5" width="11" bestFit="1" customWidth="1"/>
    <col min="6" max="6" width="22" bestFit="1" customWidth="1"/>
    <col min="7" max="7" width="81.140625" bestFit="1" customWidth="1"/>
    <col min="8" max="8" width="69.42578125" bestFit="1" customWidth="1"/>
    <col min="9" max="9" width="21.28515625" bestFit="1" customWidth="1"/>
    <col min="10" max="10" width="32.28515625" bestFit="1" customWidth="1"/>
    <col min="11" max="11" width="13.7109375" bestFit="1" customWidth="1"/>
    <col min="12" max="12" width="81.140625" bestFit="1" customWidth="1"/>
    <col min="13" max="20" width="12.7109375" bestFit="1" customWidth="1"/>
    <col min="21" max="21" width="13" bestFit="1" customWidth="1"/>
    <col min="22" max="22" width="12.85546875" bestFit="1" customWidth="1"/>
    <col min="23" max="23" width="81.140625" customWidth="1"/>
    <col min="24" max="24" width="81.140625" bestFit="1" customWidth="1"/>
    <col min="25" max="25" width="81.140625" customWidth="1"/>
    <col min="26" max="26" width="12.85546875" bestFit="1" customWidth="1"/>
    <col min="27" max="27" width="81.140625" customWidth="1"/>
  </cols>
  <sheetData>
    <row r="1" spans="1:23">
      <c r="A1" t="s">
        <v>426</v>
      </c>
      <c r="B1" t="s">
        <v>427</v>
      </c>
      <c r="C1" t="s">
        <v>428</v>
      </c>
      <c r="D1" t="s">
        <v>429</v>
      </c>
      <c r="E1" t="s">
        <v>430</v>
      </c>
      <c r="F1" t="s">
        <v>431</v>
      </c>
      <c r="G1" t="s">
        <v>432</v>
      </c>
      <c r="H1" t="s">
        <v>433</v>
      </c>
      <c r="I1" t="s">
        <v>434</v>
      </c>
      <c r="J1" t="s">
        <v>435</v>
      </c>
      <c r="K1" t="s">
        <v>3</v>
      </c>
      <c r="L1" t="s">
        <v>436</v>
      </c>
      <c r="M1" t="s">
        <v>28</v>
      </c>
      <c r="N1" t="s">
        <v>29</v>
      </c>
      <c r="O1" t="s">
        <v>30</v>
      </c>
      <c r="P1" t="s">
        <v>31</v>
      </c>
      <c r="Q1" t="s">
        <v>32</v>
      </c>
      <c r="R1" t="s">
        <v>33</v>
      </c>
      <c r="S1" t="s">
        <v>34</v>
      </c>
      <c r="T1" t="s">
        <v>35</v>
      </c>
      <c r="U1" t="s">
        <v>36</v>
      </c>
      <c r="V1" t="s">
        <v>2</v>
      </c>
      <c r="W1" t="s">
        <v>37</v>
      </c>
    </row>
    <row r="2" spans="1:23">
      <c r="A2">
        <v>5800291077</v>
      </c>
      <c r="B2" t="s">
        <v>10</v>
      </c>
      <c r="C2" t="s">
        <v>144</v>
      </c>
      <c r="D2" t="s">
        <v>57</v>
      </c>
      <c r="E2" t="s">
        <v>51</v>
      </c>
      <c r="F2" t="s">
        <v>437</v>
      </c>
      <c r="I2" t="s">
        <v>438</v>
      </c>
      <c r="L2" t="s">
        <v>439</v>
      </c>
      <c r="M2">
        <v>40</v>
      </c>
      <c r="N2">
        <v>20</v>
      </c>
      <c r="O2">
        <v>20</v>
      </c>
      <c r="P2">
        <v>20</v>
      </c>
      <c r="Q2">
        <v>20</v>
      </c>
      <c r="R2" t="s">
        <v>45</v>
      </c>
      <c r="S2" t="s">
        <v>45</v>
      </c>
      <c r="T2" t="s">
        <v>45</v>
      </c>
      <c r="U2">
        <v>120</v>
      </c>
      <c r="V2" t="s">
        <v>9</v>
      </c>
      <c r="W2" t="s">
        <v>440</v>
      </c>
    </row>
    <row r="3" spans="1:23">
      <c r="A3">
        <v>5854566043</v>
      </c>
      <c r="B3" t="s">
        <v>10</v>
      </c>
      <c r="C3" t="s">
        <v>40</v>
      </c>
      <c r="D3" t="s">
        <v>41</v>
      </c>
      <c r="E3" t="s">
        <v>42</v>
      </c>
      <c r="F3" t="s">
        <v>38</v>
      </c>
      <c r="G3" t="s">
        <v>441</v>
      </c>
      <c r="H3" t="s">
        <v>442</v>
      </c>
      <c r="I3" t="s">
        <v>443</v>
      </c>
      <c r="J3" t="s">
        <v>444</v>
      </c>
      <c r="K3">
        <v>1</v>
      </c>
      <c r="L3" t="s">
        <v>44</v>
      </c>
      <c r="M3">
        <v>40</v>
      </c>
      <c r="N3">
        <v>20</v>
      </c>
      <c r="O3">
        <v>20</v>
      </c>
      <c r="P3">
        <v>10</v>
      </c>
      <c r="Q3">
        <v>20</v>
      </c>
      <c r="R3" t="s">
        <v>45</v>
      </c>
      <c r="S3" t="s">
        <v>45</v>
      </c>
      <c r="T3" t="s">
        <v>45</v>
      </c>
      <c r="U3">
        <v>110</v>
      </c>
      <c r="V3" t="s">
        <v>9</v>
      </c>
      <c r="W3" t="s">
        <v>46</v>
      </c>
    </row>
    <row r="4" spans="1:23">
      <c r="A4">
        <v>5800859011</v>
      </c>
      <c r="B4" t="s">
        <v>10</v>
      </c>
      <c r="C4" t="s">
        <v>49</v>
      </c>
      <c r="D4" t="s">
        <v>50</v>
      </c>
      <c r="E4" t="s">
        <v>51</v>
      </c>
      <c r="F4" t="s">
        <v>47</v>
      </c>
      <c r="G4" t="s">
        <v>445</v>
      </c>
      <c r="H4" t="s">
        <v>446</v>
      </c>
      <c r="I4" t="s">
        <v>443</v>
      </c>
      <c r="J4" t="s">
        <v>447</v>
      </c>
      <c r="K4">
        <v>1</v>
      </c>
      <c r="L4" t="s">
        <v>53</v>
      </c>
      <c r="M4">
        <v>40</v>
      </c>
      <c r="N4">
        <v>20</v>
      </c>
      <c r="O4">
        <v>20</v>
      </c>
      <c r="P4">
        <v>10</v>
      </c>
      <c r="Q4">
        <v>20</v>
      </c>
      <c r="R4" t="s">
        <v>45</v>
      </c>
      <c r="S4" t="s">
        <v>45</v>
      </c>
      <c r="T4" t="s">
        <v>45</v>
      </c>
      <c r="U4">
        <v>110</v>
      </c>
      <c r="V4" t="s">
        <v>9</v>
      </c>
      <c r="W4" t="s">
        <v>54</v>
      </c>
    </row>
    <row r="5" spans="1:23">
      <c r="A5">
        <v>5836764032</v>
      </c>
      <c r="B5" t="s">
        <v>10</v>
      </c>
      <c r="C5" t="s">
        <v>448</v>
      </c>
      <c r="D5" t="s">
        <v>449</v>
      </c>
      <c r="E5" t="s">
        <v>76</v>
      </c>
      <c r="F5" t="s">
        <v>437</v>
      </c>
      <c r="I5" t="s">
        <v>438</v>
      </c>
      <c r="L5" t="s">
        <v>439</v>
      </c>
      <c r="M5">
        <v>40</v>
      </c>
      <c r="N5">
        <v>20</v>
      </c>
      <c r="O5">
        <v>20</v>
      </c>
      <c r="P5">
        <v>10</v>
      </c>
      <c r="Q5">
        <v>20</v>
      </c>
      <c r="R5" t="s">
        <v>45</v>
      </c>
      <c r="S5" t="s">
        <v>45</v>
      </c>
      <c r="T5" t="s">
        <v>45</v>
      </c>
      <c r="U5">
        <v>110</v>
      </c>
      <c r="V5" t="s">
        <v>9</v>
      </c>
      <c r="W5" t="s">
        <v>450</v>
      </c>
    </row>
    <row r="6" spans="1:23">
      <c r="A6">
        <v>7923673004</v>
      </c>
      <c r="B6" t="s">
        <v>11</v>
      </c>
      <c r="C6" t="s">
        <v>57</v>
      </c>
      <c r="D6" t="s">
        <v>57</v>
      </c>
      <c r="E6" t="s">
        <v>51</v>
      </c>
      <c r="F6" t="s">
        <v>55</v>
      </c>
      <c r="G6" t="s">
        <v>451</v>
      </c>
      <c r="H6" t="s">
        <v>452</v>
      </c>
      <c r="J6" t="s">
        <v>453</v>
      </c>
      <c r="K6">
        <v>1</v>
      </c>
      <c r="L6" t="s">
        <v>59</v>
      </c>
      <c r="M6">
        <v>15</v>
      </c>
      <c r="N6">
        <v>20</v>
      </c>
      <c r="O6">
        <v>15</v>
      </c>
      <c r="P6">
        <v>15</v>
      </c>
      <c r="Q6">
        <v>15</v>
      </c>
      <c r="R6">
        <v>10</v>
      </c>
      <c r="S6">
        <v>0</v>
      </c>
      <c r="T6">
        <v>15</v>
      </c>
      <c r="U6">
        <v>105</v>
      </c>
      <c r="V6" t="s">
        <v>9</v>
      </c>
      <c r="W6" t="s">
        <v>60</v>
      </c>
    </row>
    <row r="7" spans="1:23">
      <c r="A7">
        <v>7931608059</v>
      </c>
      <c r="B7" t="s">
        <v>11</v>
      </c>
      <c r="C7" t="s">
        <v>62</v>
      </c>
      <c r="D7" t="s">
        <v>62</v>
      </c>
      <c r="E7" t="s">
        <v>42</v>
      </c>
      <c r="F7" t="s">
        <v>61</v>
      </c>
      <c r="G7" t="s">
        <v>451</v>
      </c>
      <c r="J7" t="s">
        <v>454</v>
      </c>
      <c r="K7">
        <v>1</v>
      </c>
      <c r="L7" t="s">
        <v>64</v>
      </c>
      <c r="M7">
        <v>15</v>
      </c>
      <c r="N7">
        <v>20</v>
      </c>
      <c r="O7">
        <v>15</v>
      </c>
      <c r="P7">
        <v>15</v>
      </c>
      <c r="Q7">
        <v>15</v>
      </c>
      <c r="R7">
        <v>10</v>
      </c>
      <c r="S7">
        <v>0</v>
      </c>
      <c r="T7">
        <v>15</v>
      </c>
      <c r="U7">
        <v>105</v>
      </c>
      <c r="V7" t="s">
        <v>9</v>
      </c>
      <c r="W7" t="s">
        <v>65</v>
      </c>
    </row>
    <row r="8" spans="1:23">
      <c r="A8">
        <v>7931610122</v>
      </c>
      <c r="B8" t="s">
        <v>11</v>
      </c>
      <c r="C8" t="s">
        <v>68</v>
      </c>
      <c r="D8" t="s">
        <v>68</v>
      </c>
      <c r="E8" t="s">
        <v>42</v>
      </c>
      <c r="F8" t="s">
        <v>66</v>
      </c>
      <c r="G8" t="s">
        <v>455</v>
      </c>
      <c r="H8" t="s">
        <v>456</v>
      </c>
      <c r="I8" t="s">
        <v>443</v>
      </c>
      <c r="J8" t="s">
        <v>457</v>
      </c>
      <c r="K8">
        <v>1</v>
      </c>
      <c r="L8" t="s">
        <v>70</v>
      </c>
      <c r="M8">
        <v>15</v>
      </c>
      <c r="N8">
        <v>20</v>
      </c>
      <c r="O8">
        <v>15</v>
      </c>
      <c r="P8">
        <v>15</v>
      </c>
      <c r="Q8">
        <v>15</v>
      </c>
      <c r="R8">
        <v>10</v>
      </c>
      <c r="S8">
        <v>0</v>
      </c>
      <c r="T8">
        <v>15</v>
      </c>
      <c r="U8">
        <v>105</v>
      </c>
      <c r="V8" t="s">
        <v>9</v>
      </c>
      <c r="W8" t="s">
        <v>71</v>
      </c>
    </row>
    <row r="9" spans="1:23">
      <c r="A9">
        <v>7900648055</v>
      </c>
      <c r="B9" t="s">
        <v>11</v>
      </c>
      <c r="C9" t="s">
        <v>458</v>
      </c>
      <c r="D9" t="s">
        <v>210</v>
      </c>
      <c r="E9" t="s">
        <v>42</v>
      </c>
      <c r="F9" t="s">
        <v>437</v>
      </c>
      <c r="L9" t="s">
        <v>439</v>
      </c>
      <c r="M9">
        <v>15</v>
      </c>
      <c r="N9">
        <v>20</v>
      </c>
      <c r="O9">
        <v>15</v>
      </c>
      <c r="P9">
        <v>15</v>
      </c>
      <c r="Q9">
        <v>15</v>
      </c>
      <c r="R9">
        <v>10</v>
      </c>
      <c r="S9">
        <v>0</v>
      </c>
      <c r="T9">
        <v>15</v>
      </c>
      <c r="U9">
        <v>105</v>
      </c>
      <c r="V9" t="s">
        <v>9</v>
      </c>
      <c r="W9" t="s">
        <v>459</v>
      </c>
    </row>
    <row r="10" spans="1:23">
      <c r="A10">
        <v>7947203070</v>
      </c>
      <c r="B10" t="s">
        <v>11</v>
      </c>
      <c r="C10" t="s">
        <v>81</v>
      </c>
      <c r="D10" t="s">
        <v>62</v>
      </c>
      <c r="E10" t="s">
        <v>42</v>
      </c>
      <c r="F10" t="s">
        <v>80</v>
      </c>
      <c r="G10" t="s">
        <v>451</v>
      </c>
      <c r="H10" t="s">
        <v>452</v>
      </c>
      <c r="J10" t="s">
        <v>460</v>
      </c>
      <c r="K10">
        <v>1</v>
      </c>
      <c r="L10" t="s">
        <v>83</v>
      </c>
      <c r="M10">
        <v>10</v>
      </c>
      <c r="N10">
        <v>20</v>
      </c>
      <c r="O10">
        <v>15</v>
      </c>
      <c r="P10">
        <v>15</v>
      </c>
      <c r="Q10">
        <v>15</v>
      </c>
      <c r="R10">
        <v>10</v>
      </c>
      <c r="S10">
        <v>0</v>
      </c>
      <c r="T10">
        <v>15</v>
      </c>
      <c r="U10">
        <v>100</v>
      </c>
      <c r="V10" t="s">
        <v>9</v>
      </c>
      <c r="W10" t="s">
        <v>84</v>
      </c>
    </row>
    <row r="11" spans="1:23">
      <c r="A11">
        <v>5856070091</v>
      </c>
      <c r="B11" t="s">
        <v>10</v>
      </c>
      <c r="C11" t="s">
        <v>74</v>
      </c>
      <c r="D11" t="s">
        <v>75</v>
      </c>
      <c r="E11" t="s">
        <v>76</v>
      </c>
      <c r="F11" t="s">
        <v>72</v>
      </c>
      <c r="G11" t="s">
        <v>445</v>
      </c>
      <c r="H11" t="s">
        <v>461</v>
      </c>
      <c r="I11" t="s">
        <v>443</v>
      </c>
      <c r="J11" t="s">
        <v>462</v>
      </c>
      <c r="K11">
        <v>3</v>
      </c>
      <c r="L11" t="s">
        <v>78</v>
      </c>
      <c r="M11">
        <v>40</v>
      </c>
      <c r="N11">
        <v>20</v>
      </c>
      <c r="O11">
        <v>20</v>
      </c>
      <c r="P11">
        <v>20</v>
      </c>
      <c r="Q11">
        <v>0</v>
      </c>
      <c r="R11" t="s">
        <v>45</v>
      </c>
      <c r="S11" t="s">
        <v>45</v>
      </c>
      <c r="T11" t="s">
        <v>45</v>
      </c>
      <c r="U11">
        <v>100</v>
      </c>
      <c r="V11" t="s">
        <v>9</v>
      </c>
      <c r="W11" t="s">
        <v>79</v>
      </c>
    </row>
    <row r="12" spans="1:23">
      <c r="A12">
        <v>7903569004</v>
      </c>
      <c r="B12" t="s">
        <v>11</v>
      </c>
      <c r="C12" t="s">
        <v>57</v>
      </c>
      <c r="D12" t="s">
        <v>57</v>
      </c>
      <c r="E12" t="s">
        <v>51</v>
      </c>
      <c r="F12" t="s">
        <v>437</v>
      </c>
      <c r="L12" t="s">
        <v>439</v>
      </c>
      <c r="M12">
        <v>15</v>
      </c>
      <c r="N12">
        <v>20</v>
      </c>
      <c r="O12">
        <v>5</v>
      </c>
      <c r="P12">
        <v>15</v>
      </c>
      <c r="Q12">
        <v>15</v>
      </c>
      <c r="R12">
        <v>10</v>
      </c>
      <c r="S12">
        <v>0</v>
      </c>
      <c r="T12">
        <v>15</v>
      </c>
      <c r="U12">
        <v>95</v>
      </c>
      <c r="V12" t="s">
        <v>9</v>
      </c>
      <c r="W12" t="s">
        <v>463</v>
      </c>
    </row>
    <row r="13" spans="1:23">
      <c r="A13">
        <v>7925744087</v>
      </c>
      <c r="B13" t="s">
        <v>11</v>
      </c>
      <c r="C13" t="s">
        <v>91</v>
      </c>
      <c r="D13" t="s">
        <v>50</v>
      </c>
      <c r="E13" t="s">
        <v>51</v>
      </c>
      <c r="F13" t="s">
        <v>90</v>
      </c>
      <c r="G13" t="s">
        <v>451</v>
      </c>
      <c r="H13" t="s">
        <v>464</v>
      </c>
      <c r="J13" t="s">
        <v>465</v>
      </c>
      <c r="K13">
        <v>1</v>
      </c>
      <c r="L13" t="s">
        <v>93</v>
      </c>
      <c r="M13">
        <v>15</v>
      </c>
      <c r="N13">
        <v>20</v>
      </c>
      <c r="O13">
        <v>5</v>
      </c>
      <c r="P13">
        <v>15</v>
      </c>
      <c r="Q13">
        <v>15</v>
      </c>
      <c r="R13">
        <v>10</v>
      </c>
      <c r="S13">
        <v>0</v>
      </c>
      <c r="T13">
        <v>15</v>
      </c>
      <c r="U13">
        <v>95</v>
      </c>
      <c r="V13" t="s">
        <v>9</v>
      </c>
      <c r="W13" t="s">
        <v>94</v>
      </c>
    </row>
    <row r="14" spans="1:23">
      <c r="A14">
        <v>7900117013</v>
      </c>
      <c r="B14" t="s">
        <v>11</v>
      </c>
      <c r="C14" t="s">
        <v>97</v>
      </c>
      <c r="D14" t="s">
        <v>97</v>
      </c>
      <c r="E14" t="s">
        <v>42</v>
      </c>
      <c r="F14" t="s">
        <v>95</v>
      </c>
      <c r="G14" t="s">
        <v>455</v>
      </c>
      <c r="H14" t="s">
        <v>466</v>
      </c>
      <c r="I14" t="s">
        <v>443</v>
      </c>
      <c r="J14" t="s">
        <v>460</v>
      </c>
      <c r="K14">
        <v>1</v>
      </c>
      <c r="L14" t="s">
        <v>99</v>
      </c>
      <c r="M14">
        <v>15</v>
      </c>
      <c r="N14">
        <v>20</v>
      </c>
      <c r="O14">
        <v>15</v>
      </c>
      <c r="P14">
        <v>15</v>
      </c>
      <c r="Q14">
        <v>15</v>
      </c>
      <c r="R14">
        <v>0</v>
      </c>
      <c r="S14">
        <v>0</v>
      </c>
      <c r="T14">
        <v>15</v>
      </c>
      <c r="U14">
        <v>95</v>
      </c>
      <c r="V14" t="s">
        <v>9</v>
      </c>
      <c r="W14" t="s">
        <v>100</v>
      </c>
    </row>
    <row r="15" spans="1:23">
      <c r="A15">
        <v>7929376022</v>
      </c>
      <c r="B15" t="s">
        <v>11</v>
      </c>
      <c r="C15" t="s">
        <v>102</v>
      </c>
      <c r="D15" t="s">
        <v>57</v>
      </c>
      <c r="E15" t="s">
        <v>51</v>
      </c>
      <c r="F15" t="s">
        <v>101</v>
      </c>
      <c r="G15" t="s">
        <v>467</v>
      </c>
      <c r="H15" t="s">
        <v>468</v>
      </c>
      <c r="I15" t="s">
        <v>443</v>
      </c>
      <c r="J15" t="s">
        <v>469</v>
      </c>
      <c r="K15">
        <v>1</v>
      </c>
      <c r="L15" t="s">
        <v>104</v>
      </c>
      <c r="M15">
        <v>15</v>
      </c>
      <c r="N15">
        <v>20</v>
      </c>
      <c r="O15">
        <v>5</v>
      </c>
      <c r="P15">
        <v>15</v>
      </c>
      <c r="Q15">
        <v>15</v>
      </c>
      <c r="R15">
        <v>10</v>
      </c>
      <c r="S15">
        <v>0</v>
      </c>
      <c r="T15">
        <v>15</v>
      </c>
      <c r="U15">
        <v>95</v>
      </c>
      <c r="V15" t="s">
        <v>9</v>
      </c>
      <c r="W15" t="s">
        <v>105</v>
      </c>
    </row>
    <row r="16" spans="1:23">
      <c r="A16">
        <v>7908705049</v>
      </c>
      <c r="B16" t="s">
        <v>11</v>
      </c>
      <c r="C16" t="s">
        <v>86</v>
      </c>
      <c r="D16" t="s">
        <v>75</v>
      </c>
      <c r="E16" t="s">
        <v>76</v>
      </c>
      <c r="F16" t="s">
        <v>85</v>
      </c>
      <c r="G16" t="s">
        <v>445</v>
      </c>
      <c r="H16" t="s">
        <v>470</v>
      </c>
      <c r="I16" t="s">
        <v>443</v>
      </c>
      <c r="J16" t="s">
        <v>469</v>
      </c>
      <c r="K16">
        <v>1</v>
      </c>
      <c r="L16" t="s">
        <v>88</v>
      </c>
      <c r="M16">
        <v>15</v>
      </c>
      <c r="N16">
        <v>20</v>
      </c>
      <c r="O16">
        <v>5</v>
      </c>
      <c r="P16">
        <v>15</v>
      </c>
      <c r="Q16">
        <v>15</v>
      </c>
      <c r="R16">
        <v>0</v>
      </c>
      <c r="S16">
        <v>10</v>
      </c>
      <c r="T16">
        <v>15</v>
      </c>
      <c r="U16">
        <v>95</v>
      </c>
      <c r="V16" t="s">
        <v>9</v>
      </c>
      <c r="W16" t="s">
        <v>89</v>
      </c>
    </row>
    <row r="17" spans="1:23">
      <c r="A17">
        <v>7933726256</v>
      </c>
      <c r="B17" t="s">
        <v>11</v>
      </c>
      <c r="C17" t="s">
        <v>107</v>
      </c>
      <c r="D17" t="s">
        <v>108</v>
      </c>
      <c r="E17" t="s">
        <v>42</v>
      </c>
      <c r="F17" t="s">
        <v>106</v>
      </c>
      <c r="G17" t="s">
        <v>471</v>
      </c>
      <c r="H17" t="s">
        <v>472</v>
      </c>
      <c r="I17" t="s">
        <v>443</v>
      </c>
      <c r="J17" t="s">
        <v>473</v>
      </c>
      <c r="K17">
        <v>1</v>
      </c>
      <c r="L17" t="s">
        <v>110</v>
      </c>
      <c r="M17">
        <v>15</v>
      </c>
      <c r="N17">
        <v>10</v>
      </c>
      <c r="O17">
        <v>15</v>
      </c>
      <c r="P17">
        <v>15</v>
      </c>
      <c r="Q17">
        <v>15</v>
      </c>
      <c r="R17">
        <v>10</v>
      </c>
      <c r="S17">
        <v>0</v>
      </c>
      <c r="T17">
        <v>15</v>
      </c>
      <c r="U17">
        <v>95</v>
      </c>
      <c r="V17" t="s">
        <v>9</v>
      </c>
      <c r="W17" t="s">
        <v>111</v>
      </c>
    </row>
    <row r="18" spans="1:23">
      <c r="A18">
        <v>7933766059</v>
      </c>
      <c r="B18" t="s">
        <v>11</v>
      </c>
      <c r="C18" t="s">
        <v>62</v>
      </c>
      <c r="D18" t="s">
        <v>62</v>
      </c>
      <c r="E18" t="s">
        <v>42</v>
      </c>
      <c r="F18" t="s">
        <v>112</v>
      </c>
      <c r="G18" t="s">
        <v>445</v>
      </c>
      <c r="H18" t="s">
        <v>456</v>
      </c>
      <c r="I18" t="s">
        <v>443</v>
      </c>
      <c r="J18" t="s">
        <v>473</v>
      </c>
      <c r="K18">
        <v>1</v>
      </c>
      <c r="L18" t="s">
        <v>114</v>
      </c>
      <c r="M18">
        <v>15</v>
      </c>
      <c r="N18">
        <v>20</v>
      </c>
      <c r="O18">
        <v>5</v>
      </c>
      <c r="P18">
        <v>15</v>
      </c>
      <c r="Q18">
        <v>15</v>
      </c>
      <c r="R18">
        <v>0</v>
      </c>
      <c r="S18">
        <v>10</v>
      </c>
      <c r="T18">
        <v>15</v>
      </c>
      <c r="U18">
        <v>95</v>
      </c>
      <c r="V18" t="s">
        <v>9</v>
      </c>
      <c r="W18" t="s">
        <v>115</v>
      </c>
    </row>
    <row r="19" spans="1:23">
      <c r="A19">
        <v>7900594026</v>
      </c>
      <c r="B19" t="s">
        <v>11</v>
      </c>
      <c r="C19" t="s">
        <v>108</v>
      </c>
      <c r="D19" t="s">
        <v>108</v>
      </c>
      <c r="E19" t="s">
        <v>42</v>
      </c>
      <c r="F19" t="s">
        <v>474</v>
      </c>
      <c r="G19" t="s">
        <v>445</v>
      </c>
      <c r="H19" t="s">
        <v>475</v>
      </c>
      <c r="I19" t="s">
        <v>443</v>
      </c>
      <c r="J19" t="s">
        <v>469</v>
      </c>
      <c r="K19">
        <v>1</v>
      </c>
      <c r="L19" t="s">
        <v>118</v>
      </c>
      <c r="M19">
        <v>15</v>
      </c>
      <c r="N19">
        <v>20</v>
      </c>
      <c r="O19">
        <v>15</v>
      </c>
      <c r="P19">
        <v>15</v>
      </c>
      <c r="Q19">
        <v>15</v>
      </c>
      <c r="R19">
        <v>0</v>
      </c>
      <c r="S19">
        <v>0</v>
      </c>
      <c r="T19">
        <v>15</v>
      </c>
      <c r="U19">
        <v>95</v>
      </c>
      <c r="V19" t="s">
        <v>9</v>
      </c>
      <c r="W19" t="s">
        <v>119</v>
      </c>
    </row>
    <row r="20" spans="1:23">
      <c r="A20">
        <v>7921040031</v>
      </c>
      <c r="B20" t="s">
        <v>11</v>
      </c>
      <c r="C20" t="s">
        <v>476</v>
      </c>
      <c r="D20" t="s">
        <v>186</v>
      </c>
      <c r="E20" t="s">
        <v>42</v>
      </c>
      <c r="F20" t="s">
        <v>437</v>
      </c>
      <c r="I20" t="s">
        <v>438</v>
      </c>
      <c r="L20" t="s">
        <v>439</v>
      </c>
      <c r="M20">
        <v>15</v>
      </c>
      <c r="N20">
        <v>20</v>
      </c>
      <c r="O20">
        <v>5</v>
      </c>
      <c r="P20">
        <v>15</v>
      </c>
      <c r="Q20">
        <v>15</v>
      </c>
      <c r="R20">
        <v>10</v>
      </c>
      <c r="S20">
        <v>0</v>
      </c>
      <c r="T20">
        <v>15</v>
      </c>
      <c r="U20">
        <v>95</v>
      </c>
      <c r="V20" t="s">
        <v>9</v>
      </c>
      <c r="W20" t="s">
        <v>477</v>
      </c>
    </row>
    <row r="21" spans="1:23">
      <c r="A21">
        <v>7957620015</v>
      </c>
      <c r="B21" t="s">
        <v>11</v>
      </c>
      <c r="C21" t="s">
        <v>283</v>
      </c>
      <c r="D21" t="s">
        <v>50</v>
      </c>
      <c r="E21" t="s">
        <v>51</v>
      </c>
      <c r="F21" t="s">
        <v>437</v>
      </c>
      <c r="I21" t="s">
        <v>438</v>
      </c>
      <c r="L21" t="s">
        <v>439</v>
      </c>
      <c r="M21">
        <v>15</v>
      </c>
      <c r="N21">
        <v>20</v>
      </c>
      <c r="O21">
        <v>15</v>
      </c>
      <c r="P21">
        <v>15</v>
      </c>
      <c r="Q21">
        <v>15</v>
      </c>
      <c r="R21">
        <v>0</v>
      </c>
      <c r="S21">
        <v>0</v>
      </c>
      <c r="T21">
        <v>15</v>
      </c>
      <c r="U21">
        <v>95</v>
      </c>
      <c r="V21" t="s">
        <v>9</v>
      </c>
      <c r="W21" t="s">
        <v>478</v>
      </c>
    </row>
    <row r="22" spans="1:23">
      <c r="A22">
        <v>7927413001</v>
      </c>
      <c r="B22" t="s">
        <v>11</v>
      </c>
      <c r="C22" t="s">
        <v>41</v>
      </c>
      <c r="D22" t="s">
        <v>41</v>
      </c>
      <c r="E22" t="s">
        <v>42</v>
      </c>
      <c r="F22" t="s">
        <v>120</v>
      </c>
      <c r="G22" t="s">
        <v>451</v>
      </c>
      <c r="H22" t="s">
        <v>452</v>
      </c>
      <c r="J22" t="s">
        <v>469</v>
      </c>
      <c r="K22">
        <v>1</v>
      </c>
      <c r="L22" t="s">
        <v>479</v>
      </c>
      <c r="M22">
        <v>15</v>
      </c>
      <c r="N22">
        <v>5</v>
      </c>
      <c r="O22">
        <v>15</v>
      </c>
      <c r="P22">
        <v>15</v>
      </c>
      <c r="Q22">
        <v>15</v>
      </c>
      <c r="R22">
        <v>10</v>
      </c>
      <c r="S22">
        <v>0</v>
      </c>
      <c r="T22">
        <v>15</v>
      </c>
      <c r="U22">
        <v>90</v>
      </c>
      <c r="V22" t="s">
        <v>9</v>
      </c>
      <c r="W22" t="s">
        <v>123</v>
      </c>
    </row>
    <row r="23" spans="1:23">
      <c r="A23">
        <v>7908686014</v>
      </c>
      <c r="B23" t="s">
        <v>11</v>
      </c>
      <c r="C23" t="s">
        <v>126</v>
      </c>
      <c r="D23" t="s">
        <v>97</v>
      </c>
      <c r="E23" t="s">
        <v>42</v>
      </c>
      <c r="F23" t="s">
        <v>124</v>
      </c>
      <c r="G23" t="s">
        <v>445</v>
      </c>
      <c r="H23">
        <v>46226</v>
      </c>
      <c r="I23" t="s">
        <v>443</v>
      </c>
      <c r="J23" t="s">
        <v>480</v>
      </c>
      <c r="K23">
        <v>1</v>
      </c>
      <c r="L23" t="s">
        <v>128</v>
      </c>
      <c r="M23">
        <v>15</v>
      </c>
      <c r="N23">
        <v>20</v>
      </c>
      <c r="O23">
        <v>0</v>
      </c>
      <c r="P23">
        <v>15</v>
      </c>
      <c r="Q23">
        <v>15</v>
      </c>
      <c r="R23">
        <v>10</v>
      </c>
      <c r="S23">
        <v>0</v>
      </c>
      <c r="T23">
        <v>15</v>
      </c>
      <c r="U23">
        <v>90</v>
      </c>
      <c r="V23" t="s">
        <v>9</v>
      </c>
      <c r="W23" t="s">
        <v>129</v>
      </c>
    </row>
    <row r="24" spans="1:23">
      <c r="A24">
        <v>5800440256</v>
      </c>
      <c r="B24" t="s">
        <v>10</v>
      </c>
      <c r="C24" t="s">
        <v>107</v>
      </c>
      <c r="D24" t="s">
        <v>108</v>
      </c>
      <c r="E24" t="s">
        <v>42</v>
      </c>
      <c r="F24" t="s">
        <v>437</v>
      </c>
      <c r="L24" t="s">
        <v>439</v>
      </c>
      <c r="M24">
        <v>20</v>
      </c>
      <c r="N24">
        <v>20</v>
      </c>
      <c r="O24">
        <v>20</v>
      </c>
      <c r="P24">
        <v>10</v>
      </c>
      <c r="Q24">
        <v>20</v>
      </c>
      <c r="R24" t="s">
        <v>45</v>
      </c>
      <c r="S24" t="s">
        <v>45</v>
      </c>
      <c r="T24" t="s">
        <v>45</v>
      </c>
      <c r="U24">
        <v>90</v>
      </c>
      <c r="V24" t="s">
        <v>9</v>
      </c>
      <c r="W24" t="s">
        <v>481</v>
      </c>
    </row>
    <row r="25" spans="1:23">
      <c r="A25">
        <v>7943790134</v>
      </c>
      <c r="B25" t="s">
        <v>11</v>
      </c>
      <c r="C25" t="s">
        <v>131</v>
      </c>
      <c r="D25" t="s">
        <v>132</v>
      </c>
      <c r="E25" t="s">
        <v>51</v>
      </c>
      <c r="F25" t="s">
        <v>130</v>
      </c>
      <c r="G25" t="s">
        <v>482</v>
      </c>
      <c r="I25" t="s">
        <v>443</v>
      </c>
      <c r="J25" t="s">
        <v>480</v>
      </c>
      <c r="K25">
        <v>1</v>
      </c>
      <c r="L25" t="s">
        <v>134</v>
      </c>
      <c r="M25">
        <v>15</v>
      </c>
      <c r="N25">
        <v>10</v>
      </c>
      <c r="O25">
        <v>5</v>
      </c>
      <c r="P25">
        <v>15</v>
      </c>
      <c r="Q25">
        <v>15</v>
      </c>
      <c r="R25">
        <v>10</v>
      </c>
      <c r="S25">
        <v>0</v>
      </c>
      <c r="T25">
        <v>15</v>
      </c>
      <c r="U25">
        <v>85</v>
      </c>
      <c r="V25" t="s">
        <v>9</v>
      </c>
      <c r="W25" t="s">
        <v>135</v>
      </c>
    </row>
    <row r="26" spans="1:23">
      <c r="A26">
        <v>7900453110</v>
      </c>
      <c r="B26" t="s">
        <v>11</v>
      </c>
      <c r="C26" t="s">
        <v>137</v>
      </c>
      <c r="D26" t="s">
        <v>41</v>
      </c>
      <c r="E26" t="s">
        <v>42</v>
      </c>
      <c r="F26" t="s">
        <v>136</v>
      </c>
      <c r="G26" t="s">
        <v>451</v>
      </c>
      <c r="H26" t="s">
        <v>483</v>
      </c>
      <c r="J26" t="s">
        <v>480</v>
      </c>
      <c r="K26">
        <v>1</v>
      </c>
      <c r="L26" t="s">
        <v>139</v>
      </c>
      <c r="M26">
        <v>15</v>
      </c>
      <c r="N26">
        <v>10</v>
      </c>
      <c r="O26">
        <v>5</v>
      </c>
      <c r="P26">
        <v>15</v>
      </c>
      <c r="Q26">
        <v>15</v>
      </c>
      <c r="R26">
        <v>10</v>
      </c>
      <c r="S26">
        <v>0</v>
      </c>
      <c r="T26">
        <v>15</v>
      </c>
      <c r="U26">
        <v>85</v>
      </c>
      <c r="V26" t="s">
        <v>9</v>
      </c>
      <c r="W26" t="s">
        <v>140</v>
      </c>
    </row>
    <row r="27" spans="1:23">
      <c r="A27">
        <v>7925871077</v>
      </c>
      <c r="B27" t="s">
        <v>11</v>
      </c>
      <c r="C27" t="s">
        <v>144</v>
      </c>
      <c r="D27" t="s">
        <v>57</v>
      </c>
      <c r="E27" t="s">
        <v>51</v>
      </c>
      <c r="F27" t="s">
        <v>143</v>
      </c>
      <c r="G27" t="s">
        <v>484</v>
      </c>
      <c r="J27" t="s">
        <v>480</v>
      </c>
      <c r="K27">
        <v>1</v>
      </c>
      <c r="L27" t="s">
        <v>146</v>
      </c>
      <c r="M27">
        <v>15</v>
      </c>
      <c r="N27">
        <v>10</v>
      </c>
      <c r="O27">
        <v>15</v>
      </c>
      <c r="P27">
        <v>15</v>
      </c>
      <c r="Q27">
        <v>15</v>
      </c>
      <c r="R27">
        <v>10</v>
      </c>
      <c r="S27">
        <v>0</v>
      </c>
      <c r="T27">
        <v>0</v>
      </c>
      <c r="U27">
        <v>80</v>
      </c>
      <c r="V27" t="s">
        <v>9</v>
      </c>
      <c r="W27" t="s">
        <v>147</v>
      </c>
    </row>
    <row r="28" spans="1:23">
      <c r="A28">
        <v>5803327001</v>
      </c>
      <c r="B28" t="s">
        <v>10</v>
      </c>
      <c r="C28" t="s">
        <v>41</v>
      </c>
      <c r="D28" t="s">
        <v>41</v>
      </c>
      <c r="E28" t="s">
        <v>42</v>
      </c>
      <c r="F28" t="s">
        <v>148</v>
      </c>
      <c r="G28" t="s">
        <v>485</v>
      </c>
      <c r="H28" t="s">
        <v>486</v>
      </c>
      <c r="J28" t="s">
        <v>487</v>
      </c>
      <c r="K28">
        <v>1</v>
      </c>
      <c r="L28" t="s">
        <v>488</v>
      </c>
      <c r="M28">
        <v>40</v>
      </c>
      <c r="N28">
        <v>0</v>
      </c>
      <c r="O28">
        <v>0</v>
      </c>
      <c r="P28">
        <v>20</v>
      </c>
      <c r="Q28">
        <v>20</v>
      </c>
      <c r="R28" t="s">
        <v>45</v>
      </c>
      <c r="S28" t="s">
        <v>45</v>
      </c>
      <c r="T28" t="s">
        <v>45</v>
      </c>
      <c r="U28">
        <v>80</v>
      </c>
      <c r="V28" t="s">
        <v>13</v>
      </c>
      <c r="W28" t="s">
        <v>151</v>
      </c>
    </row>
    <row r="29" spans="1:23">
      <c r="A29">
        <v>7900230155</v>
      </c>
      <c r="B29" t="s">
        <v>11</v>
      </c>
      <c r="C29" t="s">
        <v>153</v>
      </c>
      <c r="D29" t="s">
        <v>154</v>
      </c>
      <c r="E29" t="s">
        <v>51</v>
      </c>
      <c r="F29" t="s">
        <v>152</v>
      </c>
      <c r="G29" t="s">
        <v>471</v>
      </c>
      <c r="I29" t="s">
        <v>443</v>
      </c>
      <c r="J29" t="s">
        <v>489</v>
      </c>
      <c r="K29">
        <v>1</v>
      </c>
      <c r="L29" t="s">
        <v>156</v>
      </c>
      <c r="M29">
        <v>15</v>
      </c>
      <c r="N29">
        <v>20</v>
      </c>
      <c r="O29">
        <v>5</v>
      </c>
      <c r="P29">
        <v>15</v>
      </c>
      <c r="Q29">
        <v>0</v>
      </c>
      <c r="R29">
        <v>10</v>
      </c>
      <c r="S29">
        <v>0</v>
      </c>
      <c r="T29">
        <v>15</v>
      </c>
      <c r="U29">
        <v>80</v>
      </c>
      <c r="V29" t="s">
        <v>9</v>
      </c>
      <c r="W29" t="s">
        <v>157</v>
      </c>
    </row>
    <row r="30" spans="1:23">
      <c r="A30">
        <v>7900543083</v>
      </c>
      <c r="B30" t="s">
        <v>11</v>
      </c>
      <c r="C30" t="s">
        <v>490</v>
      </c>
      <c r="D30" t="s">
        <v>62</v>
      </c>
      <c r="E30" t="s">
        <v>42</v>
      </c>
      <c r="F30" t="s">
        <v>437</v>
      </c>
      <c r="I30" t="s">
        <v>438</v>
      </c>
      <c r="L30" t="s">
        <v>439</v>
      </c>
      <c r="M30">
        <v>15</v>
      </c>
      <c r="N30">
        <v>20</v>
      </c>
      <c r="O30">
        <v>5</v>
      </c>
      <c r="P30">
        <v>15</v>
      </c>
      <c r="Q30">
        <v>0</v>
      </c>
      <c r="R30">
        <v>0</v>
      </c>
      <c r="S30">
        <v>10</v>
      </c>
      <c r="T30">
        <v>15</v>
      </c>
      <c r="U30">
        <v>80</v>
      </c>
      <c r="V30" t="s">
        <v>9</v>
      </c>
      <c r="W30" t="s">
        <v>491</v>
      </c>
    </row>
    <row r="31" spans="1:23">
      <c r="A31">
        <v>7900930040</v>
      </c>
      <c r="B31" t="s">
        <v>11</v>
      </c>
      <c r="C31" t="s">
        <v>492</v>
      </c>
      <c r="D31" t="s">
        <v>57</v>
      </c>
      <c r="E31" t="s">
        <v>51</v>
      </c>
      <c r="F31" t="s">
        <v>437</v>
      </c>
      <c r="I31" t="s">
        <v>438</v>
      </c>
      <c r="L31" t="s">
        <v>439</v>
      </c>
      <c r="M31">
        <v>15</v>
      </c>
      <c r="N31">
        <v>20</v>
      </c>
      <c r="O31">
        <v>5</v>
      </c>
      <c r="P31">
        <v>15</v>
      </c>
      <c r="Q31">
        <v>0</v>
      </c>
      <c r="R31">
        <v>0</v>
      </c>
      <c r="S31">
        <v>10</v>
      </c>
      <c r="T31">
        <v>15</v>
      </c>
      <c r="U31">
        <v>80</v>
      </c>
      <c r="V31" t="s">
        <v>9</v>
      </c>
      <c r="W31" t="s">
        <v>493</v>
      </c>
    </row>
    <row r="32" spans="1:23">
      <c r="A32">
        <v>7931383086</v>
      </c>
      <c r="B32" t="s">
        <v>11</v>
      </c>
      <c r="C32" t="s">
        <v>209</v>
      </c>
      <c r="D32" t="s">
        <v>210</v>
      </c>
      <c r="E32" t="s">
        <v>42</v>
      </c>
      <c r="F32" t="s">
        <v>437</v>
      </c>
      <c r="I32" t="s">
        <v>438</v>
      </c>
      <c r="L32" t="s">
        <v>439</v>
      </c>
      <c r="M32">
        <v>15</v>
      </c>
      <c r="N32">
        <v>20</v>
      </c>
      <c r="O32">
        <v>5</v>
      </c>
      <c r="P32">
        <v>15</v>
      </c>
      <c r="Q32">
        <v>0</v>
      </c>
      <c r="R32">
        <v>10</v>
      </c>
      <c r="S32">
        <v>0</v>
      </c>
      <c r="T32">
        <v>15</v>
      </c>
      <c r="U32">
        <v>80</v>
      </c>
      <c r="V32" t="s">
        <v>9</v>
      </c>
      <c r="W32" t="s">
        <v>494</v>
      </c>
    </row>
    <row r="33" spans="1:23">
      <c r="A33">
        <v>7908302256</v>
      </c>
      <c r="B33" t="s">
        <v>11</v>
      </c>
      <c r="C33" t="s">
        <v>107</v>
      </c>
      <c r="D33" t="s">
        <v>108</v>
      </c>
      <c r="E33" t="s">
        <v>42</v>
      </c>
      <c r="F33" t="s">
        <v>158</v>
      </c>
      <c r="G33" t="s">
        <v>495</v>
      </c>
      <c r="L33" t="s">
        <v>159</v>
      </c>
      <c r="M33">
        <v>5</v>
      </c>
      <c r="N33">
        <v>10</v>
      </c>
      <c r="O33">
        <v>5</v>
      </c>
      <c r="P33">
        <v>15</v>
      </c>
      <c r="Q33">
        <v>15</v>
      </c>
      <c r="R33">
        <v>10</v>
      </c>
      <c r="S33">
        <v>0</v>
      </c>
      <c r="T33">
        <v>15</v>
      </c>
      <c r="U33">
        <v>75</v>
      </c>
      <c r="V33" t="s">
        <v>13</v>
      </c>
      <c r="W33" t="s">
        <v>160</v>
      </c>
    </row>
    <row r="34" spans="1:23">
      <c r="A34">
        <v>5800371025</v>
      </c>
      <c r="B34" t="s">
        <v>10</v>
      </c>
      <c r="C34" t="s">
        <v>162</v>
      </c>
      <c r="D34" t="s">
        <v>154</v>
      </c>
      <c r="E34" t="s">
        <v>51</v>
      </c>
      <c r="F34" t="s">
        <v>161</v>
      </c>
      <c r="G34" t="s">
        <v>445</v>
      </c>
      <c r="H34" t="s">
        <v>496</v>
      </c>
      <c r="I34" t="s">
        <v>443</v>
      </c>
      <c r="J34" t="s">
        <v>460</v>
      </c>
      <c r="K34">
        <v>1</v>
      </c>
      <c r="L34" t="s">
        <v>164</v>
      </c>
      <c r="M34">
        <v>0</v>
      </c>
      <c r="N34">
        <v>20</v>
      </c>
      <c r="O34">
        <v>20</v>
      </c>
      <c r="P34">
        <v>10</v>
      </c>
      <c r="Q34">
        <v>20</v>
      </c>
      <c r="R34" t="s">
        <v>45</v>
      </c>
      <c r="S34" t="s">
        <v>45</v>
      </c>
      <c r="T34" t="s">
        <v>45</v>
      </c>
      <c r="U34">
        <v>70</v>
      </c>
      <c r="V34" t="s">
        <v>13</v>
      </c>
      <c r="W34" t="s">
        <v>165</v>
      </c>
    </row>
    <row r="35" spans="1:23">
      <c r="A35">
        <v>7926089013</v>
      </c>
      <c r="B35" t="s">
        <v>11</v>
      </c>
      <c r="C35" t="s">
        <v>97</v>
      </c>
      <c r="D35" t="s">
        <v>97</v>
      </c>
      <c r="E35" t="s">
        <v>42</v>
      </c>
      <c r="F35" t="s">
        <v>171</v>
      </c>
      <c r="G35" t="s">
        <v>451</v>
      </c>
      <c r="J35" t="s">
        <v>480</v>
      </c>
      <c r="K35">
        <v>1</v>
      </c>
      <c r="L35" t="s">
        <v>173</v>
      </c>
      <c r="M35">
        <v>15</v>
      </c>
      <c r="N35">
        <v>10</v>
      </c>
      <c r="O35">
        <v>5</v>
      </c>
      <c r="P35">
        <v>15</v>
      </c>
      <c r="Q35">
        <v>15</v>
      </c>
      <c r="R35">
        <v>10</v>
      </c>
      <c r="S35">
        <v>0</v>
      </c>
      <c r="T35">
        <v>0</v>
      </c>
      <c r="U35">
        <v>70</v>
      </c>
      <c r="V35" t="s">
        <v>13</v>
      </c>
      <c r="W35" t="s">
        <v>174</v>
      </c>
    </row>
    <row r="36" spans="1:23">
      <c r="A36">
        <v>7925087021</v>
      </c>
      <c r="B36" t="s">
        <v>11</v>
      </c>
      <c r="C36" t="s">
        <v>176</v>
      </c>
      <c r="D36" t="s">
        <v>177</v>
      </c>
      <c r="E36" t="s">
        <v>76</v>
      </c>
      <c r="F36" t="s">
        <v>175</v>
      </c>
      <c r="G36" t="s">
        <v>445</v>
      </c>
      <c r="H36">
        <v>46233</v>
      </c>
      <c r="I36" t="s">
        <v>443</v>
      </c>
      <c r="J36" t="s">
        <v>480</v>
      </c>
      <c r="K36">
        <v>1</v>
      </c>
      <c r="L36" t="s">
        <v>179</v>
      </c>
      <c r="M36">
        <v>15</v>
      </c>
      <c r="N36">
        <v>10</v>
      </c>
      <c r="O36">
        <v>5</v>
      </c>
      <c r="P36">
        <v>0</v>
      </c>
      <c r="Q36">
        <v>15</v>
      </c>
      <c r="R36">
        <v>10</v>
      </c>
      <c r="S36">
        <v>0</v>
      </c>
      <c r="T36">
        <v>15</v>
      </c>
      <c r="U36">
        <v>70</v>
      </c>
      <c r="V36" t="s">
        <v>13</v>
      </c>
      <c r="W36" t="s">
        <v>180</v>
      </c>
    </row>
    <row r="37" spans="1:23">
      <c r="A37">
        <v>5801866013</v>
      </c>
      <c r="B37" t="s">
        <v>10</v>
      </c>
      <c r="C37" t="s">
        <v>97</v>
      </c>
      <c r="D37" t="s">
        <v>97</v>
      </c>
      <c r="E37" t="s">
        <v>42</v>
      </c>
      <c r="F37" t="s">
        <v>181</v>
      </c>
      <c r="G37" t="s">
        <v>471</v>
      </c>
      <c r="I37" t="s">
        <v>443</v>
      </c>
      <c r="J37" t="s">
        <v>444</v>
      </c>
      <c r="K37">
        <v>1</v>
      </c>
      <c r="L37" t="s">
        <v>183</v>
      </c>
      <c r="M37">
        <v>0</v>
      </c>
      <c r="N37">
        <v>20</v>
      </c>
      <c r="O37">
        <v>20</v>
      </c>
      <c r="P37">
        <v>20</v>
      </c>
      <c r="Q37">
        <v>10</v>
      </c>
      <c r="R37" t="s">
        <v>45</v>
      </c>
      <c r="S37" t="s">
        <v>45</v>
      </c>
      <c r="T37" t="s">
        <v>45</v>
      </c>
      <c r="U37">
        <v>70</v>
      </c>
      <c r="V37" t="s">
        <v>13</v>
      </c>
      <c r="W37" t="s">
        <v>184</v>
      </c>
    </row>
    <row r="38" spans="1:23">
      <c r="A38">
        <v>5865120195</v>
      </c>
      <c r="B38" t="s">
        <v>10</v>
      </c>
      <c r="C38" t="s">
        <v>167</v>
      </c>
      <c r="D38" t="s">
        <v>50</v>
      </c>
      <c r="E38" t="s">
        <v>51</v>
      </c>
      <c r="F38" t="s">
        <v>166</v>
      </c>
      <c r="G38" t="s">
        <v>471</v>
      </c>
      <c r="J38" t="s">
        <v>497</v>
      </c>
      <c r="K38">
        <v>1</v>
      </c>
      <c r="L38" t="s">
        <v>169</v>
      </c>
      <c r="M38">
        <v>20</v>
      </c>
      <c r="N38">
        <v>20</v>
      </c>
      <c r="O38">
        <v>20</v>
      </c>
      <c r="P38">
        <v>10</v>
      </c>
      <c r="Q38">
        <v>0</v>
      </c>
      <c r="R38" t="s">
        <v>45</v>
      </c>
      <c r="S38" t="s">
        <v>45</v>
      </c>
      <c r="T38" t="s">
        <v>45</v>
      </c>
      <c r="U38">
        <v>70</v>
      </c>
      <c r="V38" t="s">
        <v>13</v>
      </c>
      <c r="W38" t="s">
        <v>170</v>
      </c>
    </row>
    <row r="39" spans="1:23">
      <c r="A39">
        <v>5853360007</v>
      </c>
      <c r="B39" t="s">
        <v>10</v>
      </c>
      <c r="C39" t="s">
        <v>186</v>
      </c>
      <c r="D39" t="s">
        <v>186</v>
      </c>
      <c r="E39" t="s">
        <v>42</v>
      </c>
      <c r="F39" t="s">
        <v>185</v>
      </c>
      <c r="G39" t="s">
        <v>498</v>
      </c>
      <c r="H39" t="s">
        <v>499</v>
      </c>
      <c r="J39" t="s">
        <v>497</v>
      </c>
      <c r="K39">
        <v>1</v>
      </c>
      <c r="L39" t="s">
        <v>188</v>
      </c>
      <c r="M39">
        <v>0</v>
      </c>
      <c r="N39">
        <v>20</v>
      </c>
      <c r="O39">
        <v>20</v>
      </c>
      <c r="P39">
        <v>10</v>
      </c>
      <c r="Q39">
        <v>20</v>
      </c>
      <c r="R39" t="s">
        <v>45</v>
      </c>
      <c r="S39" t="s">
        <v>45</v>
      </c>
      <c r="T39" t="s">
        <v>45</v>
      </c>
      <c r="U39">
        <v>70</v>
      </c>
      <c r="V39" t="s">
        <v>13</v>
      </c>
      <c r="W39" t="s">
        <v>189</v>
      </c>
    </row>
    <row r="40" spans="1:23">
      <c r="A40">
        <v>5800366016</v>
      </c>
      <c r="B40" t="s">
        <v>10</v>
      </c>
      <c r="C40" t="s">
        <v>500</v>
      </c>
      <c r="D40" t="s">
        <v>223</v>
      </c>
      <c r="E40" t="s">
        <v>51</v>
      </c>
      <c r="F40" t="s">
        <v>437</v>
      </c>
      <c r="I40" t="s">
        <v>438</v>
      </c>
      <c r="L40" t="s">
        <v>439</v>
      </c>
      <c r="M40">
        <v>0</v>
      </c>
      <c r="N40">
        <v>20</v>
      </c>
      <c r="O40">
        <v>20</v>
      </c>
      <c r="P40">
        <v>20</v>
      </c>
      <c r="Q40">
        <v>10</v>
      </c>
      <c r="R40" t="s">
        <v>45</v>
      </c>
      <c r="S40" t="s">
        <v>45</v>
      </c>
      <c r="T40" t="s">
        <v>45</v>
      </c>
      <c r="U40">
        <v>70</v>
      </c>
      <c r="V40" t="s">
        <v>13</v>
      </c>
      <c r="W40" t="s">
        <v>501</v>
      </c>
    </row>
    <row r="41" spans="1:23">
      <c r="A41">
        <v>7955523028</v>
      </c>
      <c r="B41" t="s">
        <v>11</v>
      </c>
      <c r="C41" t="s">
        <v>502</v>
      </c>
      <c r="D41" t="s">
        <v>75</v>
      </c>
      <c r="E41" t="s">
        <v>76</v>
      </c>
      <c r="F41" t="s">
        <v>437</v>
      </c>
      <c r="I41" t="s">
        <v>438</v>
      </c>
      <c r="L41" t="s">
        <v>439</v>
      </c>
      <c r="M41">
        <v>15</v>
      </c>
      <c r="N41">
        <v>10</v>
      </c>
      <c r="O41">
        <v>5</v>
      </c>
      <c r="P41">
        <v>15</v>
      </c>
      <c r="Q41">
        <v>15</v>
      </c>
      <c r="R41">
        <v>10</v>
      </c>
      <c r="S41">
        <v>0</v>
      </c>
      <c r="T41">
        <v>0</v>
      </c>
      <c r="U41">
        <v>70</v>
      </c>
      <c r="V41" t="s">
        <v>13</v>
      </c>
      <c r="W41" t="s">
        <v>503</v>
      </c>
    </row>
    <row r="42" spans="1:23">
      <c r="A42">
        <v>7900573047</v>
      </c>
      <c r="B42" t="s">
        <v>11</v>
      </c>
      <c r="C42" t="s">
        <v>191</v>
      </c>
      <c r="D42" t="s">
        <v>449</v>
      </c>
      <c r="E42" t="s">
        <v>76</v>
      </c>
      <c r="F42" t="s">
        <v>190</v>
      </c>
      <c r="G42" t="s">
        <v>445</v>
      </c>
      <c r="H42">
        <v>46233</v>
      </c>
      <c r="I42" t="s">
        <v>443</v>
      </c>
      <c r="J42" t="s">
        <v>469</v>
      </c>
      <c r="K42">
        <v>1</v>
      </c>
      <c r="L42" t="s">
        <v>194</v>
      </c>
      <c r="M42">
        <v>5</v>
      </c>
      <c r="N42">
        <v>5</v>
      </c>
      <c r="O42">
        <v>15</v>
      </c>
      <c r="P42">
        <v>0</v>
      </c>
      <c r="Q42">
        <v>15</v>
      </c>
      <c r="R42">
        <v>10</v>
      </c>
      <c r="S42">
        <v>0</v>
      </c>
      <c r="T42">
        <v>15</v>
      </c>
      <c r="U42">
        <v>65</v>
      </c>
      <c r="V42" t="s">
        <v>13</v>
      </c>
      <c r="W42" t="s">
        <v>195</v>
      </c>
    </row>
    <row r="43" spans="1:23">
      <c r="A43">
        <v>7953610256</v>
      </c>
      <c r="B43" t="s">
        <v>11</v>
      </c>
      <c r="C43" t="s">
        <v>107</v>
      </c>
      <c r="D43" t="s">
        <v>108</v>
      </c>
      <c r="E43" t="s">
        <v>42</v>
      </c>
      <c r="F43" t="s">
        <v>196</v>
      </c>
      <c r="G43" t="s">
        <v>467</v>
      </c>
      <c r="H43" t="s">
        <v>504</v>
      </c>
      <c r="J43" t="s">
        <v>465</v>
      </c>
      <c r="K43">
        <v>1</v>
      </c>
      <c r="L43" t="s">
        <v>197</v>
      </c>
      <c r="M43">
        <v>5</v>
      </c>
      <c r="N43">
        <v>5</v>
      </c>
      <c r="O43">
        <v>15</v>
      </c>
      <c r="P43">
        <v>15</v>
      </c>
      <c r="Q43">
        <v>0</v>
      </c>
      <c r="R43">
        <v>0</v>
      </c>
      <c r="S43">
        <v>10</v>
      </c>
      <c r="T43">
        <v>15</v>
      </c>
      <c r="U43">
        <v>65</v>
      </c>
      <c r="V43" t="s">
        <v>13</v>
      </c>
      <c r="W43" t="s">
        <v>198</v>
      </c>
    </row>
    <row r="44" spans="1:23">
      <c r="A44">
        <v>5800438116</v>
      </c>
      <c r="B44" t="s">
        <v>10</v>
      </c>
      <c r="C44" t="s">
        <v>200</v>
      </c>
      <c r="D44" t="s">
        <v>75</v>
      </c>
      <c r="E44" t="s">
        <v>76</v>
      </c>
      <c r="F44" t="s">
        <v>199</v>
      </c>
      <c r="G44" t="s">
        <v>445</v>
      </c>
      <c r="H44" t="s">
        <v>505</v>
      </c>
      <c r="I44" t="s">
        <v>443</v>
      </c>
      <c r="J44" t="s">
        <v>444</v>
      </c>
      <c r="K44">
        <v>2</v>
      </c>
      <c r="L44" t="s">
        <v>201</v>
      </c>
      <c r="M44">
        <v>0</v>
      </c>
      <c r="N44">
        <v>20</v>
      </c>
      <c r="O44">
        <v>20</v>
      </c>
      <c r="P44">
        <v>20</v>
      </c>
      <c r="Q44">
        <v>0</v>
      </c>
      <c r="R44" t="s">
        <v>45</v>
      </c>
      <c r="S44" t="s">
        <v>45</v>
      </c>
      <c r="T44" t="s">
        <v>45</v>
      </c>
      <c r="U44">
        <v>60</v>
      </c>
      <c r="V44" t="s">
        <v>14</v>
      </c>
      <c r="W44" t="s">
        <v>202</v>
      </c>
    </row>
    <row r="45" spans="1:23">
      <c r="A45">
        <v>5800090147</v>
      </c>
      <c r="B45" t="s">
        <v>10</v>
      </c>
      <c r="C45" t="s">
        <v>506</v>
      </c>
      <c r="D45" t="s">
        <v>75</v>
      </c>
      <c r="E45" t="s">
        <v>76</v>
      </c>
      <c r="F45" t="s">
        <v>437</v>
      </c>
      <c r="I45" t="s">
        <v>438</v>
      </c>
      <c r="L45" t="s">
        <v>439</v>
      </c>
      <c r="M45">
        <v>0</v>
      </c>
      <c r="N45">
        <v>20</v>
      </c>
      <c r="O45">
        <v>20</v>
      </c>
      <c r="P45">
        <v>10</v>
      </c>
      <c r="Q45">
        <v>10</v>
      </c>
      <c r="R45" t="s">
        <v>45</v>
      </c>
      <c r="S45" t="s">
        <v>45</v>
      </c>
      <c r="T45" t="s">
        <v>45</v>
      </c>
      <c r="U45">
        <v>60</v>
      </c>
      <c r="V45" t="s">
        <v>14</v>
      </c>
      <c r="W45" t="s">
        <v>507</v>
      </c>
    </row>
    <row r="46" spans="1:23">
      <c r="A46">
        <v>5840227063</v>
      </c>
      <c r="B46" t="s">
        <v>10</v>
      </c>
      <c r="C46" t="s">
        <v>204</v>
      </c>
      <c r="D46" t="s">
        <v>154</v>
      </c>
      <c r="E46" t="s">
        <v>51</v>
      </c>
      <c r="F46" t="s">
        <v>203</v>
      </c>
      <c r="G46" t="s">
        <v>495</v>
      </c>
      <c r="L46" t="s">
        <v>508</v>
      </c>
      <c r="M46">
        <v>0</v>
      </c>
      <c r="N46">
        <v>20</v>
      </c>
      <c r="O46">
        <v>20</v>
      </c>
      <c r="P46">
        <v>10</v>
      </c>
      <c r="Q46">
        <v>10</v>
      </c>
      <c r="R46" t="s">
        <v>45</v>
      </c>
      <c r="S46" t="s">
        <v>45</v>
      </c>
      <c r="T46" t="s">
        <v>45</v>
      </c>
      <c r="U46">
        <v>60</v>
      </c>
      <c r="V46" t="s">
        <v>14</v>
      </c>
      <c r="W46" t="s">
        <v>207</v>
      </c>
    </row>
    <row r="47" spans="1:23">
      <c r="A47">
        <v>5846328094</v>
      </c>
      <c r="B47" t="s">
        <v>10</v>
      </c>
      <c r="C47" t="s">
        <v>177</v>
      </c>
      <c r="D47" t="s">
        <v>177</v>
      </c>
      <c r="E47" t="s">
        <v>76</v>
      </c>
      <c r="F47" t="s">
        <v>214</v>
      </c>
      <c r="G47" t="s">
        <v>482</v>
      </c>
      <c r="I47" t="s">
        <v>443</v>
      </c>
      <c r="J47" t="s">
        <v>497</v>
      </c>
      <c r="K47">
        <v>1</v>
      </c>
      <c r="L47" t="s">
        <v>216</v>
      </c>
      <c r="M47">
        <v>0</v>
      </c>
      <c r="N47">
        <v>20</v>
      </c>
      <c r="O47">
        <v>20</v>
      </c>
      <c r="P47">
        <v>10</v>
      </c>
      <c r="Q47">
        <v>10</v>
      </c>
      <c r="R47" t="s">
        <v>45</v>
      </c>
      <c r="S47" t="s">
        <v>45</v>
      </c>
      <c r="T47" t="s">
        <v>45</v>
      </c>
      <c r="U47">
        <v>60</v>
      </c>
      <c r="V47" t="s">
        <v>14</v>
      </c>
      <c r="W47" t="s">
        <v>217</v>
      </c>
    </row>
    <row r="48" spans="1:23">
      <c r="A48">
        <v>5851753086</v>
      </c>
      <c r="B48" t="s">
        <v>10</v>
      </c>
      <c r="C48" t="s">
        <v>209</v>
      </c>
      <c r="D48" t="s">
        <v>210</v>
      </c>
      <c r="E48" t="s">
        <v>42</v>
      </c>
      <c r="F48" t="s">
        <v>208</v>
      </c>
      <c r="G48" t="s">
        <v>482</v>
      </c>
      <c r="I48" t="s">
        <v>443</v>
      </c>
      <c r="J48" t="s">
        <v>497</v>
      </c>
      <c r="K48">
        <v>1</v>
      </c>
      <c r="L48" t="s">
        <v>212</v>
      </c>
      <c r="M48">
        <v>0</v>
      </c>
      <c r="N48">
        <v>20</v>
      </c>
      <c r="O48">
        <v>20</v>
      </c>
      <c r="P48">
        <v>10</v>
      </c>
      <c r="Q48">
        <v>10</v>
      </c>
      <c r="R48" t="s">
        <v>45</v>
      </c>
      <c r="S48" t="s">
        <v>45</v>
      </c>
      <c r="T48" t="s">
        <v>45</v>
      </c>
      <c r="U48">
        <v>60</v>
      </c>
      <c r="V48" t="s">
        <v>14</v>
      </c>
      <c r="W48" t="s">
        <v>213</v>
      </c>
    </row>
    <row r="49" spans="1:23">
      <c r="A49">
        <v>7903112004</v>
      </c>
      <c r="B49" t="s">
        <v>11</v>
      </c>
      <c r="C49" t="s">
        <v>57</v>
      </c>
      <c r="D49" t="s">
        <v>57</v>
      </c>
      <c r="E49" t="s">
        <v>51</v>
      </c>
      <c r="F49" t="s">
        <v>218</v>
      </c>
      <c r="G49" t="s">
        <v>467</v>
      </c>
      <c r="H49" t="s">
        <v>509</v>
      </c>
      <c r="I49" t="s">
        <v>443</v>
      </c>
      <c r="J49" t="s">
        <v>480</v>
      </c>
      <c r="K49">
        <v>1</v>
      </c>
      <c r="L49" t="s">
        <v>219</v>
      </c>
      <c r="M49">
        <v>15</v>
      </c>
      <c r="N49">
        <v>10</v>
      </c>
      <c r="O49">
        <v>5</v>
      </c>
      <c r="P49">
        <v>15</v>
      </c>
      <c r="Q49">
        <v>0</v>
      </c>
      <c r="R49">
        <v>10</v>
      </c>
      <c r="S49">
        <v>0</v>
      </c>
      <c r="T49">
        <v>0</v>
      </c>
      <c r="U49">
        <v>55</v>
      </c>
      <c r="V49" t="s">
        <v>13</v>
      </c>
      <c r="W49" t="s">
        <v>220</v>
      </c>
    </row>
    <row r="50" spans="1:23">
      <c r="A50">
        <v>7920024127</v>
      </c>
      <c r="B50" t="s">
        <v>11</v>
      </c>
      <c r="C50" t="s">
        <v>222</v>
      </c>
      <c r="D50" t="s">
        <v>223</v>
      </c>
      <c r="E50" t="s">
        <v>51</v>
      </c>
      <c r="F50" t="s">
        <v>221</v>
      </c>
      <c r="G50" t="s">
        <v>451</v>
      </c>
      <c r="J50" t="s">
        <v>510</v>
      </c>
      <c r="K50">
        <v>1</v>
      </c>
      <c r="L50" t="s">
        <v>225</v>
      </c>
      <c r="M50">
        <v>15</v>
      </c>
      <c r="N50">
        <v>10</v>
      </c>
      <c r="O50">
        <v>5</v>
      </c>
      <c r="P50">
        <v>15</v>
      </c>
      <c r="Q50">
        <v>0</v>
      </c>
      <c r="R50">
        <v>10</v>
      </c>
      <c r="S50">
        <v>0</v>
      </c>
      <c r="T50">
        <v>0</v>
      </c>
      <c r="U50">
        <v>55</v>
      </c>
      <c r="V50" t="s">
        <v>13</v>
      </c>
      <c r="W50" t="s">
        <v>226</v>
      </c>
    </row>
    <row r="51" spans="1:23">
      <c r="A51">
        <v>7927646026</v>
      </c>
      <c r="B51" t="s">
        <v>11</v>
      </c>
      <c r="C51" t="s">
        <v>108</v>
      </c>
      <c r="D51" t="s">
        <v>108</v>
      </c>
      <c r="E51" t="s">
        <v>42</v>
      </c>
      <c r="F51" t="s">
        <v>227</v>
      </c>
      <c r="G51" t="s">
        <v>451</v>
      </c>
      <c r="J51" t="s">
        <v>480</v>
      </c>
      <c r="K51">
        <v>1</v>
      </c>
      <c r="L51" t="s">
        <v>228</v>
      </c>
      <c r="M51">
        <v>15</v>
      </c>
      <c r="N51">
        <v>10</v>
      </c>
      <c r="O51">
        <v>5</v>
      </c>
      <c r="P51">
        <v>0</v>
      </c>
      <c r="Q51">
        <v>15</v>
      </c>
      <c r="R51">
        <v>0</v>
      </c>
      <c r="S51">
        <v>10</v>
      </c>
      <c r="T51">
        <v>0</v>
      </c>
      <c r="U51">
        <v>55</v>
      </c>
      <c r="V51" t="s">
        <v>13</v>
      </c>
      <c r="W51" t="s">
        <v>229</v>
      </c>
    </row>
    <row r="52" spans="1:23">
      <c r="A52">
        <v>7927169001</v>
      </c>
      <c r="B52" t="s">
        <v>11</v>
      </c>
      <c r="C52" t="s">
        <v>41</v>
      </c>
      <c r="D52" t="s">
        <v>41</v>
      </c>
      <c r="E52" t="s">
        <v>42</v>
      </c>
      <c r="F52" t="s">
        <v>230</v>
      </c>
      <c r="G52" t="s">
        <v>455</v>
      </c>
      <c r="H52" t="s">
        <v>456</v>
      </c>
      <c r="I52" t="s">
        <v>443</v>
      </c>
      <c r="J52" t="s">
        <v>480</v>
      </c>
      <c r="L52" t="s">
        <v>231</v>
      </c>
      <c r="M52">
        <v>5</v>
      </c>
      <c r="N52">
        <v>5</v>
      </c>
      <c r="O52">
        <v>15</v>
      </c>
      <c r="P52">
        <v>0</v>
      </c>
      <c r="Q52">
        <v>15</v>
      </c>
      <c r="R52">
        <v>0</v>
      </c>
      <c r="S52">
        <v>0</v>
      </c>
      <c r="T52">
        <v>15</v>
      </c>
      <c r="U52">
        <v>55</v>
      </c>
      <c r="V52" t="s">
        <v>13</v>
      </c>
      <c r="W52" t="s">
        <v>232</v>
      </c>
    </row>
    <row r="53" spans="1:23">
      <c r="A53">
        <v>7900018004</v>
      </c>
      <c r="B53" t="s">
        <v>11</v>
      </c>
      <c r="C53" t="s">
        <v>57</v>
      </c>
      <c r="D53" t="s">
        <v>57</v>
      </c>
      <c r="E53" t="s">
        <v>51</v>
      </c>
      <c r="F53" t="s">
        <v>437</v>
      </c>
      <c r="I53" t="s">
        <v>438</v>
      </c>
      <c r="L53" t="s">
        <v>439</v>
      </c>
      <c r="M53">
        <v>15</v>
      </c>
      <c r="N53">
        <v>10</v>
      </c>
      <c r="O53">
        <v>5</v>
      </c>
      <c r="P53">
        <v>15</v>
      </c>
      <c r="Q53">
        <v>0</v>
      </c>
      <c r="R53">
        <v>10</v>
      </c>
      <c r="S53">
        <v>0</v>
      </c>
      <c r="T53">
        <v>0</v>
      </c>
      <c r="U53">
        <v>55</v>
      </c>
      <c r="V53" t="s">
        <v>13</v>
      </c>
      <c r="W53" t="s">
        <v>511</v>
      </c>
    </row>
    <row r="54" spans="1:23">
      <c r="A54">
        <v>7934698002</v>
      </c>
      <c r="B54" t="s">
        <v>11</v>
      </c>
      <c r="C54" t="s">
        <v>223</v>
      </c>
      <c r="D54" t="s">
        <v>223</v>
      </c>
      <c r="E54" t="s">
        <v>51</v>
      </c>
      <c r="F54" t="s">
        <v>437</v>
      </c>
      <c r="I54" t="s">
        <v>438</v>
      </c>
      <c r="L54" t="s">
        <v>439</v>
      </c>
      <c r="M54">
        <v>5</v>
      </c>
      <c r="N54">
        <v>5</v>
      </c>
      <c r="O54">
        <v>5</v>
      </c>
      <c r="P54">
        <v>0</v>
      </c>
      <c r="Q54">
        <v>15</v>
      </c>
      <c r="R54">
        <v>0</v>
      </c>
      <c r="S54">
        <v>10</v>
      </c>
      <c r="T54">
        <v>15</v>
      </c>
      <c r="U54">
        <v>55</v>
      </c>
      <c r="V54" t="s">
        <v>13</v>
      </c>
      <c r="W54" t="s">
        <v>512</v>
      </c>
    </row>
    <row r="55" spans="1:23">
      <c r="A55">
        <v>7930428001</v>
      </c>
      <c r="B55" t="s">
        <v>11</v>
      </c>
      <c r="C55" t="s">
        <v>41</v>
      </c>
      <c r="D55" t="s">
        <v>41</v>
      </c>
      <c r="E55" t="s">
        <v>42</v>
      </c>
      <c r="F55" t="s">
        <v>238</v>
      </c>
      <c r="G55" t="s">
        <v>451</v>
      </c>
      <c r="H55" t="s">
        <v>452</v>
      </c>
      <c r="J55" t="s">
        <v>480</v>
      </c>
      <c r="K55">
        <v>1</v>
      </c>
      <c r="L55" t="s">
        <v>240</v>
      </c>
      <c r="M55">
        <v>5</v>
      </c>
      <c r="N55">
        <v>5</v>
      </c>
      <c r="O55">
        <v>15</v>
      </c>
      <c r="P55">
        <v>0</v>
      </c>
      <c r="Q55">
        <v>15</v>
      </c>
      <c r="R55">
        <v>10</v>
      </c>
      <c r="S55">
        <v>0</v>
      </c>
      <c r="T55">
        <v>0</v>
      </c>
      <c r="U55">
        <v>50</v>
      </c>
      <c r="V55" t="s">
        <v>13</v>
      </c>
      <c r="W55" t="s">
        <v>241</v>
      </c>
    </row>
    <row r="56" spans="1:23">
      <c r="A56">
        <v>7936038076</v>
      </c>
      <c r="B56" t="s">
        <v>11</v>
      </c>
      <c r="C56" t="s">
        <v>335</v>
      </c>
      <c r="D56" t="s">
        <v>336</v>
      </c>
      <c r="E56" t="s">
        <v>76</v>
      </c>
      <c r="F56" t="s">
        <v>437</v>
      </c>
      <c r="G56" t="s">
        <v>484</v>
      </c>
      <c r="L56" t="s">
        <v>439</v>
      </c>
      <c r="M56">
        <v>5</v>
      </c>
      <c r="N56">
        <v>5</v>
      </c>
      <c r="O56">
        <v>15</v>
      </c>
      <c r="P56">
        <v>0</v>
      </c>
      <c r="Q56">
        <v>15</v>
      </c>
      <c r="R56">
        <v>10</v>
      </c>
      <c r="S56">
        <v>0</v>
      </c>
      <c r="T56">
        <v>0</v>
      </c>
      <c r="U56">
        <v>50</v>
      </c>
      <c r="V56" t="s">
        <v>13</v>
      </c>
      <c r="W56" t="s">
        <v>513</v>
      </c>
    </row>
    <row r="57" spans="1:23">
      <c r="A57">
        <v>7955520116</v>
      </c>
      <c r="B57" t="s">
        <v>11</v>
      </c>
      <c r="C57" t="s">
        <v>200</v>
      </c>
      <c r="D57" t="s">
        <v>75</v>
      </c>
      <c r="E57" t="s">
        <v>76</v>
      </c>
      <c r="F57" t="s">
        <v>437</v>
      </c>
      <c r="G57" t="s">
        <v>451</v>
      </c>
      <c r="H57" t="s">
        <v>514</v>
      </c>
      <c r="J57" t="s">
        <v>480</v>
      </c>
      <c r="K57">
        <v>1</v>
      </c>
      <c r="L57" t="s">
        <v>439</v>
      </c>
      <c r="M57">
        <v>5</v>
      </c>
      <c r="N57">
        <v>5</v>
      </c>
      <c r="O57">
        <v>15</v>
      </c>
      <c r="P57">
        <v>0</v>
      </c>
      <c r="Q57">
        <v>0</v>
      </c>
      <c r="R57">
        <v>10</v>
      </c>
      <c r="S57">
        <v>0</v>
      </c>
      <c r="T57">
        <v>15</v>
      </c>
      <c r="U57">
        <v>50</v>
      </c>
      <c r="V57" t="s">
        <v>13</v>
      </c>
      <c r="W57" t="s">
        <v>515</v>
      </c>
    </row>
    <row r="58" spans="1:23">
      <c r="A58">
        <v>5800291035</v>
      </c>
      <c r="B58" t="s">
        <v>10</v>
      </c>
      <c r="C58" t="s">
        <v>234</v>
      </c>
      <c r="D58" t="s">
        <v>108</v>
      </c>
      <c r="E58" t="s">
        <v>42</v>
      </c>
      <c r="F58" t="s">
        <v>233</v>
      </c>
      <c r="G58" t="s">
        <v>497</v>
      </c>
      <c r="H58">
        <v>46232</v>
      </c>
      <c r="J58" t="s">
        <v>497</v>
      </c>
      <c r="K58">
        <v>1</v>
      </c>
      <c r="L58" t="s">
        <v>236</v>
      </c>
      <c r="M58">
        <v>0</v>
      </c>
      <c r="N58">
        <v>20</v>
      </c>
      <c r="O58">
        <v>20</v>
      </c>
      <c r="P58">
        <v>10</v>
      </c>
      <c r="Q58">
        <v>0</v>
      </c>
      <c r="R58" t="s">
        <v>45</v>
      </c>
      <c r="S58" t="s">
        <v>45</v>
      </c>
      <c r="T58" t="s">
        <v>45</v>
      </c>
      <c r="U58">
        <v>50</v>
      </c>
      <c r="V58" t="s">
        <v>14</v>
      </c>
      <c r="W58" t="s">
        <v>237</v>
      </c>
    </row>
    <row r="59" spans="1:23">
      <c r="A59">
        <v>5827102054</v>
      </c>
      <c r="B59" t="s">
        <v>10</v>
      </c>
      <c r="C59" t="s">
        <v>243</v>
      </c>
      <c r="D59" t="s">
        <v>97</v>
      </c>
      <c r="E59" t="s">
        <v>42</v>
      </c>
      <c r="F59" t="s">
        <v>242</v>
      </c>
      <c r="G59" t="s">
        <v>516</v>
      </c>
      <c r="H59">
        <v>46231</v>
      </c>
      <c r="L59" t="s">
        <v>245</v>
      </c>
      <c r="M59">
        <v>0</v>
      </c>
      <c r="N59">
        <v>20</v>
      </c>
      <c r="O59">
        <v>20</v>
      </c>
      <c r="P59">
        <v>10</v>
      </c>
      <c r="Q59">
        <v>0</v>
      </c>
      <c r="R59" t="s">
        <v>45</v>
      </c>
      <c r="S59" t="s">
        <v>45</v>
      </c>
      <c r="T59" t="s">
        <v>45</v>
      </c>
      <c r="U59">
        <v>50</v>
      </c>
      <c r="V59" t="s">
        <v>14</v>
      </c>
      <c r="W59" t="s">
        <v>246</v>
      </c>
    </row>
    <row r="60" spans="1:23">
      <c r="A60">
        <v>5850308009</v>
      </c>
      <c r="B60" t="s">
        <v>10</v>
      </c>
      <c r="C60" t="s">
        <v>50</v>
      </c>
      <c r="D60" t="s">
        <v>50</v>
      </c>
      <c r="E60" t="s">
        <v>51</v>
      </c>
      <c r="F60" t="s">
        <v>437</v>
      </c>
      <c r="I60" t="s">
        <v>438</v>
      </c>
      <c r="L60" t="s">
        <v>439</v>
      </c>
      <c r="M60">
        <v>0</v>
      </c>
      <c r="N60">
        <v>20</v>
      </c>
      <c r="O60">
        <v>20</v>
      </c>
      <c r="P60">
        <v>0</v>
      </c>
      <c r="Q60">
        <v>10</v>
      </c>
      <c r="R60" t="s">
        <v>45</v>
      </c>
      <c r="S60" t="s">
        <v>45</v>
      </c>
      <c r="T60" t="s">
        <v>45</v>
      </c>
      <c r="U60">
        <v>50</v>
      </c>
      <c r="V60" t="s">
        <v>14</v>
      </c>
      <c r="W60" t="s">
        <v>517</v>
      </c>
    </row>
    <row r="61" spans="1:23">
      <c r="A61">
        <v>7900535058</v>
      </c>
      <c r="B61" t="s">
        <v>11</v>
      </c>
      <c r="C61" t="s">
        <v>248</v>
      </c>
      <c r="D61" t="s">
        <v>57</v>
      </c>
      <c r="E61" t="s">
        <v>51</v>
      </c>
      <c r="F61" t="s">
        <v>247</v>
      </c>
      <c r="G61" t="s">
        <v>451</v>
      </c>
      <c r="J61" t="s">
        <v>460</v>
      </c>
      <c r="K61">
        <v>1</v>
      </c>
      <c r="L61" t="s">
        <v>250</v>
      </c>
      <c r="M61">
        <v>5</v>
      </c>
      <c r="N61">
        <v>10</v>
      </c>
      <c r="O61">
        <v>5</v>
      </c>
      <c r="P61">
        <v>0</v>
      </c>
      <c r="Q61">
        <v>15</v>
      </c>
      <c r="R61">
        <v>10</v>
      </c>
      <c r="S61">
        <v>0</v>
      </c>
      <c r="T61">
        <v>0</v>
      </c>
      <c r="U61">
        <v>45</v>
      </c>
      <c r="V61" t="s">
        <v>14</v>
      </c>
      <c r="W61" t="s">
        <v>251</v>
      </c>
    </row>
    <row r="62" spans="1:23">
      <c r="A62">
        <v>7927713200</v>
      </c>
      <c r="B62" t="s">
        <v>11</v>
      </c>
      <c r="C62" t="s">
        <v>327</v>
      </c>
      <c r="D62" t="s">
        <v>177</v>
      </c>
      <c r="E62" t="s">
        <v>76</v>
      </c>
      <c r="F62" t="s">
        <v>437</v>
      </c>
      <c r="G62" t="s">
        <v>451</v>
      </c>
      <c r="J62" t="s">
        <v>480</v>
      </c>
      <c r="K62">
        <v>1</v>
      </c>
      <c r="L62" t="s">
        <v>439</v>
      </c>
      <c r="M62">
        <v>5</v>
      </c>
      <c r="N62">
        <v>5</v>
      </c>
      <c r="O62">
        <v>5</v>
      </c>
      <c r="P62">
        <v>0</v>
      </c>
      <c r="Q62">
        <v>15</v>
      </c>
      <c r="R62">
        <v>10</v>
      </c>
      <c r="S62">
        <v>0</v>
      </c>
      <c r="T62">
        <v>0</v>
      </c>
      <c r="U62">
        <v>40</v>
      </c>
      <c r="V62" t="s">
        <v>14</v>
      </c>
      <c r="W62" t="s">
        <v>518</v>
      </c>
    </row>
    <row r="63" spans="1:23">
      <c r="A63">
        <v>7937102148</v>
      </c>
      <c r="B63" t="s">
        <v>11</v>
      </c>
      <c r="C63" t="s">
        <v>262</v>
      </c>
      <c r="D63" t="s">
        <v>177</v>
      </c>
      <c r="E63" t="s">
        <v>76</v>
      </c>
      <c r="F63" t="s">
        <v>261</v>
      </c>
      <c r="G63" t="s">
        <v>451</v>
      </c>
      <c r="J63" t="s">
        <v>480</v>
      </c>
      <c r="K63">
        <v>1</v>
      </c>
      <c r="L63" t="s">
        <v>264</v>
      </c>
      <c r="M63">
        <v>5</v>
      </c>
      <c r="N63">
        <v>5</v>
      </c>
      <c r="O63">
        <v>5</v>
      </c>
      <c r="P63">
        <v>0</v>
      </c>
      <c r="Q63">
        <v>15</v>
      </c>
      <c r="R63">
        <v>10</v>
      </c>
      <c r="S63">
        <v>0</v>
      </c>
      <c r="T63">
        <v>0</v>
      </c>
      <c r="U63">
        <v>40</v>
      </c>
      <c r="V63" t="s">
        <v>14</v>
      </c>
      <c r="W63" t="s">
        <v>265</v>
      </c>
    </row>
    <row r="64" spans="1:23">
      <c r="A64">
        <v>7944559149</v>
      </c>
      <c r="B64" t="s">
        <v>11</v>
      </c>
      <c r="C64" t="s">
        <v>257</v>
      </c>
      <c r="D64" t="s">
        <v>210</v>
      </c>
      <c r="E64" t="s">
        <v>42</v>
      </c>
      <c r="F64" t="s">
        <v>256</v>
      </c>
      <c r="G64" t="s">
        <v>451</v>
      </c>
      <c r="J64" t="s">
        <v>460</v>
      </c>
      <c r="K64">
        <v>1</v>
      </c>
      <c r="L64" t="s">
        <v>259</v>
      </c>
      <c r="M64">
        <v>5</v>
      </c>
      <c r="N64">
        <v>10</v>
      </c>
      <c r="O64">
        <v>0</v>
      </c>
      <c r="P64">
        <v>0</v>
      </c>
      <c r="Q64">
        <v>15</v>
      </c>
      <c r="R64">
        <v>10</v>
      </c>
      <c r="S64">
        <v>0</v>
      </c>
      <c r="T64">
        <v>0</v>
      </c>
      <c r="U64">
        <v>40</v>
      </c>
      <c r="V64" t="s">
        <v>14</v>
      </c>
      <c r="W64" t="s">
        <v>260</v>
      </c>
    </row>
    <row r="65" spans="1:23">
      <c r="A65">
        <v>5800961074</v>
      </c>
      <c r="B65" t="s">
        <v>10</v>
      </c>
      <c r="C65" t="s">
        <v>75</v>
      </c>
      <c r="D65" t="s">
        <v>75</v>
      </c>
      <c r="E65" t="s">
        <v>76</v>
      </c>
      <c r="F65" t="s">
        <v>252</v>
      </c>
      <c r="G65" t="s">
        <v>519</v>
      </c>
      <c r="H65" t="s">
        <v>520</v>
      </c>
      <c r="J65" t="s">
        <v>521</v>
      </c>
      <c r="K65">
        <v>3</v>
      </c>
      <c r="L65" t="s">
        <v>254</v>
      </c>
      <c r="M65">
        <v>20</v>
      </c>
      <c r="N65">
        <v>0</v>
      </c>
      <c r="O65">
        <v>0</v>
      </c>
      <c r="P65">
        <v>20</v>
      </c>
      <c r="Q65">
        <v>0</v>
      </c>
      <c r="R65" t="s">
        <v>45</v>
      </c>
      <c r="S65" t="s">
        <v>45</v>
      </c>
      <c r="T65" t="s">
        <v>45</v>
      </c>
      <c r="U65">
        <v>40</v>
      </c>
      <c r="V65" t="s">
        <v>14</v>
      </c>
      <c r="W65" t="s">
        <v>255</v>
      </c>
    </row>
    <row r="66" spans="1:23">
      <c r="A66">
        <v>7908249152</v>
      </c>
      <c r="B66" t="s">
        <v>11</v>
      </c>
      <c r="C66" t="s">
        <v>291</v>
      </c>
      <c r="D66" t="s">
        <v>41</v>
      </c>
      <c r="E66" t="s">
        <v>42</v>
      </c>
      <c r="F66" t="s">
        <v>290</v>
      </c>
      <c r="G66" t="s">
        <v>451</v>
      </c>
      <c r="J66" t="s">
        <v>469</v>
      </c>
      <c r="K66">
        <v>1</v>
      </c>
      <c r="L66" t="s">
        <v>292</v>
      </c>
      <c r="M66">
        <v>5</v>
      </c>
      <c r="N66">
        <v>5</v>
      </c>
      <c r="O66">
        <v>0</v>
      </c>
      <c r="P66">
        <v>0</v>
      </c>
      <c r="Q66">
        <v>15</v>
      </c>
      <c r="R66">
        <v>10</v>
      </c>
      <c r="S66">
        <v>0</v>
      </c>
      <c r="T66">
        <v>0</v>
      </c>
      <c r="U66">
        <v>35</v>
      </c>
      <c r="V66" t="s">
        <v>14</v>
      </c>
      <c r="W66" t="s">
        <v>293</v>
      </c>
    </row>
    <row r="67" spans="1:23">
      <c r="A67">
        <v>7922995039</v>
      </c>
      <c r="B67" t="s">
        <v>11</v>
      </c>
      <c r="C67" t="s">
        <v>267</v>
      </c>
      <c r="D67" t="s">
        <v>132</v>
      </c>
      <c r="E67" t="s">
        <v>51</v>
      </c>
      <c r="F67" t="s">
        <v>266</v>
      </c>
      <c r="I67" t="s">
        <v>522</v>
      </c>
      <c r="L67" t="s">
        <v>269</v>
      </c>
      <c r="M67">
        <v>5</v>
      </c>
      <c r="N67">
        <v>5</v>
      </c>
      <c r="O67">
        <v>0</v>
      </c>
      <c r="P67">
        <v>0</v>
      </c>
      <c r="Q67">
        <v>15</v>
      </c>
      <c r="R67">
        <v>10</v>
      </c>
      <c r="S67">
        <v>0</v>
      </c>
      <c r="T67">
        <v>0</v>
      </c>
      <c r="U67">
        <v>35</v>
      </c>
      <c r="V67" t="s">
        <v>14</v>
      </c>
      <c r="W67" t="s">
        <v>270</v>
      </c>
    </row>
    <row r="68" spans="1:23">
      <c r="A68">
        <v>7925733015</v>
      </c>
      <c r="B68" t="s">
        <v>11</v>
      </c>
      <c r="C68" t="s">
        <v>283</v>
      </c>
      <c r="D68" t="s">
        <v>50</v>
      </c>
      <c r="E68" t="s">
        <v>51</v>
      </c>
      <c r="F68" t="s">
        <v>282</v>
      </c>
      <c r="G68" t="s">
        <v>451</v>
      </c>
      <c r="J68" t="s">
        <v>480</v>
      </c>
      <c r="K68">
        <v>1</v>
      </c>
      <c r="L68" t="s">
        <v>285</v>
      </c>
      <c r="M68">
        <v>5</v>
      </c>
      <c r="N68">
        <v>5</v>
      </c>
      <c r="O68">
        <v>0</v>
      </c>
      <c r="P68">
        <v>0</v>
      </c>
      <c r="Q68">
        <v>15</v>
      </c>
      <c r="R68">
        <v>10</v>
      </c>
      <c r="S68">
        <v>0</v>
      </c>
      <c r="T68">
        <v>0</v>
      </c>
      <c r="U68">
        <v>35</v>
      </c>
      <c r="V68" t="s">
        <v>14</v>
      </c>
      <c r="W68" t="s">
        <v>286</v>
      </c>
    </row>
    <row r="69" spans="1:23">
      <c r="A69">
        <v>7927396052</v>
      </c>
      <c r="B69" t="s">
        <v>11</v>
      </c>
      <c r="C69" t="s">
        <v>192</v>
      </c>
      <c r="D69" t="s">
        <v>192</v>
      </c>
      <c r="E69" t="s">
        <v>76</v>
      </c>
      <c r="F69" t="s">
        <v>278</v>
      </c>
      <c r="G69" t="s">
        <v>451</v>
      </c>
      <c r="J69" t="s">
        <v>480</v>
      </c>
      <c r="K69">
        <v>1</v>
      </c>
      <c r="L69" t="s">
        <v>280</v>
      </c>
      <c r="M69">
        <v>5</v>
      </c>
      <c r="N69">
        <v>5</v>
      </c>
      <c r="O69">
        <v>0</v>
      </c>
      <c r="P69">
        <v>0</v>
      </c>
      <c r="Q69">
        <v>15</v>
      </c>
      <c r="R69">
        <v>10</v>
      </c>
      <c r="S69">
        <v>0</v>
      </c>
      <c r="T69">
        <v>0</v>
      </c>
      <c r="U69">
        <v>35</v>
      </c>
      <c r="V69" t="s">
        <v>14</v>
      </c>
      <c r="W69" t="s">
        <v>281</v>
      </c>
    </row>
    <row r="70" spans="1:23">
      <c r="A70">
        <v>7933585074</v>
      </c>
      <c r="B70" t="s">
        <v>11</v>
      </c>
      <c r="C70" t="s">
        <v>75</v>
      </c>
      <c r="D70" t="s">
        <v>75</v>
      </c>
      <c r="E70" t="s">
        <v>76</v>
      </c>
      <c r="F70" t="s">
        <v>271</v>
      </c>
      <c r="G70" t="s">
        <v>451</v>
      </c>
      <c r="H70" t="s">
        <v>452</v>
      </c>
      <c r="J70" t="s">
        <v>480</v>
      </c>
      <c r="K70">
        <v>1</v>
      </c>
      <c r="L70" t="s">
        <v>523</v>
      </c>
      <c r="M70">
        <v>5</v>
      </c>
      <c r="N70">
        <v>5</v>
      </c>
      <c r="O70">
        <v>15</v>
      </c>
      <c r="P70">
        <v>0</v>
      </c>
      <c r="Q70">
        <v>0</v>
      </c>
      <c r="R70">
        <v>0</v>
      </c>
      <c r="S70">
        <v>10</v>
      </c>
      <c r="T70">
        <v>0</v>
      </c>
      <c r="U70">
        <v>35</v>
      </c>
      <c r="V70" t="s">
        <v>14</v>
      </c>
      <c r="W70" t="s">
        <v>273</v>
      </c>
    </row>
    <row r="71" spans="1:23">
      <c r="A71">
        <v>7942572059</v>
      </c>
      <c r="B71" t="s">
        <v>11</v>
      </c>
      <c r="C71" t="s">
        <v>62</v>
      </c>
      <c r="D71" t="s">
        <v>62</v>
      </c>
      <c r="E71" t="s">
        <v>42</v>
      </c>
      <c r="F71" t="s">
        <v>294</v>
      </c>
      <c r="G71" t="s">
        <v>497</v>
      </c>
      <c r="I71" t="s">
        <v>522</v>
      </c>
      <c r="L71" t="s">
        <v>296</v>
      </c>
      <c r="M71">
        <v>5</v>
      </c>
      <c r="N71">
        <v>5</v>
      </c>
      <c r="O71">
        <v>15</v>
      </c>
      <c r="P71">
        <v>0</v>
      </c>
      <c r="Q71">
        <v>0</v>
      </c>
      <c r="R71">
        <v>0</v>
      </c>
      <c r="S71">
        <v>10</v>
      </c>
      <c r="T71">
        <v>0</v>
      </c>
      <c r="U71">
        <v>35</v>
      </c>
      <c r="V71" t="s">
        <v>14</v>
      </c>
      <c r="W71" t="s">
        <v>297</v>
      </c>
    </row>
    <row r="72" spans="1:23">
      <c r="A72">
        <v>7944319149</v>
      </c>
      <c r="B72" t="s">
        <v>11</v>
      </c>
      <c r="C72" t="s">
        <v>257</v>
      </c>
      <c r="D72" t="s">
        <v>210</v>
      </c>
      <c r="E72" t="s">
        <v>42</v>
      </c>
      <c r="F72" t="s">
        <v>437</v>
      </c>
      <c r="I72" t="s">
        <v>438</v>
      </c>
      <c r="L72" t="s">
        <v>439</v>
      </c>
      <c r="M72">
        <v>5</v>
      </c>
      <c r="N72">
        <v>5</v>
      </c>
      <c r="O72">
        <v>15</v>
      </c>
      <c r="P72">
        <v>0</v>
      </c>
      <c r="Q72">
        <v>0</v>
      </c>
      <c r="R72">
        <v>0</v>
      </c>
      <c r="S72">
        <v>10</v>
      </c>
      <c r="T72">
        <v>0</v>
      </c>
      <c r="U72">
        <v>35</v>
      </c>
      <c r="V72" t="s">
        <v>14</v>
      </c>
      <c r="W72" t="s">
        <v>524</v>
      </c>
    </row>
    <row r="73" spans="1:23">
      <c r="A73">
        <v>7955986084</v>
      </c>
      <c r="B73" t="s">
        <v>11</v>
      </c>
      <c r="C73" t="s">
        <v>210</v>
      </c>
      <c r="D73" t="s">
        <v>210</v>
      </c>
      <c r="E73" t="s">
        <v>42</v>
      </c>
      <c r="F73" t="s">
        <v>274</v>
      </c>
      <c r="G73" t="s">
        <v>451</v>
      </c>
      <c r="L73" t="s">
        <v>276</v>
      </c>
      <c r="M73">
        <v>5</v>
      </c>
      <c r="N73">
        <v>5</v>
      </c>
      <c r="O73">
        <v>0</v>
      </c>
      <c r="P73">
        <v>0</v>
      </c>
      <c r="Q73">
        <v>15</v>
      </c>
      <c r="R73">
        <v>10</v>
      </c>
      <c r="S73">
        <v>0</v>
      </c>
      <c r="T73">
        <v>0</v>
      </c>
      <c r="U73">
        <v>35</v>
      </c>
      <c r="V73" t="s">
        <v>14</v>
      </c>
      <c r="W73" t="s">
        <v>277</v>
      </c>
    </row>
    <row r="74" spans="1:23">
      <c r="A74">
        <v>7967181127</v>
      </c>
      <c r="B74" t="s">
        <v>11</v>
      </c>
      <c r="C74" t="s">
        <v>222</v>
      </c>
      <c r="D74" t="s">
        <v>223</v>
      </c>
      <c r="E74" t="s">
        <v>51</v>
      </c>
      <c r="F74" t="s">
        <v>437</v>
      </c>
      <c r="G74" t="s">
        <v>525</v>
      </c>
      <c r="H74" t="s">
        <v>526</v>
      </c>
      <c r="L74" t="s">
        <v>439</v>
      </c>
      <c r="M74">
        <v>5</v>
      </c>
      <c r="N74">
        <v>5</v>
      </c>
      <c r="O74">
        <v>0</v>
      </c>
      <c r="P74">
        <v>0</v>
      </c>
      <c r="Q74">
        <v>15</v>
      </c>
      <c r="R74">
        <v>10</v>
      </c>
      <c r="S74">
        <v>0</v>
      </c>
      <c r="T74">
        <v>0</v>
      </c>
      <c r="U74">
        <v>35</v>
      </c>
      <c r="V74" t="s">
        <v>14</v>
      </c>
      <c r="W74" t="s">
        <v>527</v>
      </c>
    </row>
    <row r="75" spans="1:23">
      <c r="A75">
        <v>7900525015</v>
      </c>
      <c r="B75" t="s">
        <v>11</v>
      </c>
      <c r="C75" t="s">
        <v>283</v>
      </c>
      <c r="D75" t="s">
        <v>50</v>
      </c>
      <c r="E75" t="s">
        <v>51</v>
      </c>
      <c r="F75" t="s">
        <v>287</v>
      </c>
      <c r="G75" t="s">
        <v>451</v>
      </c>
      <c r="J75" t="s">
        <v>480</v>
      </c>
      <c r="K75">
        <v>1</v>
      </c>
      <c r="L75" t="s">
        <v>288</v>
      </c>
      <c r="M75">
        <v>5</v>
      </c>
      <c r="N75">
        <v>5</v>
      </c>
      <c r="O75">
        <v>0</v>
      </c>
      <c r="P75">
        <v>0</v>
      </c>
      <c r="Q75">
        <v>15</v>
      </c>
      <c r="R75">
        <v>10</v>
      </c>
      <c r="S75">
        <v>0</v>
      </c>
      <c r="T75">
        <v>0</v>
      </c>
      <c r="U75">
        <v>35</v>
      </c>
      <c r="V75" t="s">
        <v>14</v>
      </c>
      <c r="W75" t="s">
        <v>289</v>
      </c>
    </row>
    <row r="76" spans="1:23">
      <c r="A76">
        <v>7928564039</v>
      </c>
      <c r="B76" t="s">
        <v>11</v>
      </c>
      <c r="C76" t="s">
        <v>267</v>
      </c>
      <c r="D76" t="s">
        <v>132</v>
      </c>
      <c r="E76" t="s">
        <v>51</v>
      </c>
      <c r="F76" t="s">
        <v>298</v>
      </c>
      <c r="G76" t="s">
        <v>451</v>
      </c>
      <c r="J76" t="s">
        <v>469</v>
      </c>
      <c r="K76">
        <v>1</v>
      </c>
      <c r="L76" t="s">
        <v>299</v>
      </c>
      <c r="M76">
        <v>5</v>
      </c>
      <c r="N76">
        <v>10</v>
      </c>
      <c r="O76">
        <v>5</v>
      </c>
      <c r="P76">
        <v>0</v>
      </c>
      <c r="Q76">
        <v>0</v>
      </c>
      <c r="R76">
        <v>10</v>
      </c>
      <c r="S76">
        <v>0</v>
      </c>
      <c r="T76">
        <v>0</v>
      </c>
      <c r="U76">
        <v>30</v>
      </c>
      <c r="V76" t="s">
        <v>14</v>
      </c>
      <c r="W76" t="s">
        <v>300</v>
      </c>
    </row>
    <row r="77" spans="1:23">
      <c r="A77">
        <v>7957126085</v>
      </c>
      <c r="B77" t="s">
        <v>11</v>
      </c>
      <c r="C77" t="s">
        <v>528</v>
      </c>
      <c r="D77" t="s">
        <v>97</v>
      </c>
      <c r="E77" t="s">
        <v>42</v>
      </c>
      <c r="F77" t="s">
        <v>437</v>
      </c>
      <c r="I77" t="s">
        <v>438</v>
      </c>
      <c r="L77" t="s">
        <v>439</v>
      </c>
      <c r="M77">
        <v>5</v>
      </c>
      <c r="N77">
        <v>10</v>
      </c>
      <c r="O77">
        <v>5</v>
      </c>
      <c r="P77">
        <v>0</v>
      </c>
      <c r="Q77">
        <v>0</v>
      </c>
      <c r="R77">
        <v>10</v>
      </c>
      <c r="S77">
        <v>0</v>
      </c>
      <c r="T77">
        <v>0</v>
      </c>
      <c r="U77">
        <v>30</v>
      </c>
      <c r="V77" t="s">
        <v>14</v>
      </c>
      <c r="W77" t="s">
        <v>529</v>
      </c>
    </row>
    <row r="78" spans="1:23">
      <c r="A78">
        <v>5841308190</v>
      </c>
      <c r="B78" t="s">
        <v>10</v>
      </c>
      <c r="C78" t="s">
        <v>530</v>
      </c>
      <c r="D78" t="s">
        <v>75</v>
      </c>
      <c r="E78" t="s">
        <v>76</v>
      </c>
      <c r="F78" t="s">
        <v>437</v>
      </c>
      <c r="I78" t="s">
        <v>531</v>
      </c>
      <c r="J78" t="s">
        <v>45</v>
      </c>
      <c r="L78" t="s">
        <v>439</v>
      </c>
      <c r="M78">
        <v>0</v>
      </c>
      <c r="N78">
        <v>20</v>
      </c>
      <c r="O78">
        <v>0</v>
      </c>
      <c r="P78">
        <v>10</v>
      </c>
      <c r="Q78">
        <v>0</v>
      </c>
      <c r="R78" t="s">
        <v>45</v>
      </c>
      <c r="S78" t="s">
        <v>45</v>
      </c>
      <c r="T78" t="s">
        <v>45</v>
      </c>
      <c r="U78">
        <v>30</v>
      </c>
      <c r="V78" t="s">
        <v>15</v>
      </c>
      <c r="W78" t="s">
        <v>532</v>
      </c>
    </row>
    <row r="79" spans="1:23">
      <c r="A79">
        <v>5844630060</v>
      </c>
      <c r="B79" t="s">
        <v>10</v>
      </c>
      <c r="C79" t="s">
        <v>533</v>
      </c>
      <c r="D79" t="s">
        <v>154</v>
      </c>
      <c r="E79" t="s">
        <v>51</v>
      </c>
      <c r="F79" t="s">
        <v>437</v>
      </c>
      <c r="G79" t="s">
        <v>467</v>
      </c>
      <c r="H79" t="s">
        <v>534</v>
      </c>
      <c r="J79" t="s">
        <v>444</v>
      </c>
      <c r="K79">
        <v>1</v>
      </c>
      <c r="L79" t="s">
        <v>439</v>
      </c>
      <c r="M79">
        <v>20</v>
      </c>
      <c r="N79">
        <v>0</v>
      </c>
      <c r="O79">
        <v>0</v>
      </c>
      <c r="P79">
        <v>10</v>
      </c>
      <c r="Q79">
        <v>0</v>
      </c>
      <c r="R79" t="s">
        <v>45</v>
      </c>
      <c r="S79" t="s">
        <v>45</v>
      </c>
      <c r="T79" t="s">
        <v>45</v>
      </c>
      <c r="U79">
        <v>30</v>
      </c>
      <c r="V79" t="s">
        <v>15</v>
      </c>
      <c r="W79" t="s">
        <v>535</v>
      </c>
    </row>
    <row r="80" spans="1:23">
      <c r="A80">
        <v>5855411017</v>
      </c>
      <c r="B80" t="s">
        <v>10</v>
      </c>
      <c r="C80" t="s">
        <v>302</v>
      </c>
      <c r="D80" t="s">
        <v>186</v>
      </c>
      <c r="E80" t="s">
        <v>42</v>
      </c>
      <c r="F80" t="s">
        <v>301</v>
      </c>
      <c r="G80" t="s">
        <v>536</v>
      </c>
      <c r="H80" t="s">
        <v>537</v>
      </c>
      <c r="I80" t="s">
        <v>443</v>
      </c>
      <c r="J80" t="s">
        <v>460</v>
      </c>
      <c r="K80">
        <v>1</v>
      </c>
      <c r="L80" t="s">
        <v>538</v>
      </c>
      <c r="M80">
        <v>0</v>
      </c>
      <c r="N80">
        <v>0</v>
      </c>
      <c r="O80">
        <v>0</v>
      </c>
      <c r="P80">
        <v>10</v>
      </c>
      <c r="Q80">
        <v>20</v>
      </c>
      <c r="R80" t="s">
        <v>45</v>
      </c>
      <c r="S80" t="s">
        <v>45</v>
      </c>
      <c r="T80" t="s">
        <v>45</v>
      </c>
      <c r="U80">
        <v>30</v>
      </c>
      <c r="V80" t="s">
        <v>15</v>
      </c>
      <c r="W80" t="s">
        <v>305</v>
      </c>
    </row>
    <row r="81" spans="1:23">
      <c r="A81">
        <v>7900505026</v>
      </c>
      <c r="B81" t="s">
        <v>11</v>
      </c>
      <c r="C81" t="s">
        <v>108</v>
      </c>
      <c r="D81" t="s">
        <v>108</v>
      </c>
      <c r="E81" t="s">
        <v>42</v>
      </c>
      <c r="F81" t="s">
        <v>437</v>
      </c>
      <c r="L81" t="s">
        <v>439</v>
      </c>
      <c r="M81">
        <v>5</v>
      </c>
      <c r="N81">
        <v>5</v>
      </c>
      <c r="O81">
        <v>5</v>
      </c>
      <c r="P81">
        <v>0</v>
      </c>
      <c r="Q81">
        <v>0</v>
      </c>
      <c r="R81">
        <v>0</v>
      </c>
      <c r="S81">
        <v>10</v>
      </c>
      <c r="T81">
        <v>0</v>
      </c>
      <c r="U81">
        <v>25</v>
      </c>
      <c r="V81" t="s">
        <v>15</v>
      </c>
      <c r="W81" t="s">
        <v>539</v>
      </c>
    </row>
    <row r="82" spans="1:23">
      <c r="A82">
        <v>7908196047</v>
      </c>
      <c r="B82" t="s">
        <v>11</v>
      </c>
      <c r="C82" t="s">
        <v>191</v>
      </c>
      <c r="D82" t="s">
        <v>449</v>
      </c>
      <c r="E82" t="s">
        <v>76</v>
      </c>
      <c r="F82" t="s">
        <v>306</v>
      </c>
      <c r="G82" t="s">
        <v>451</v>
      </c>
      <c r="J82" t="s">
        <v>469</v>
      </c>
      <c r="K82">
        <v>1</v>
      </c>
      <c r="L82" t="s">
        <v>307</v>
      </c>
      <c r="M82">
        <v>5</v>
      </c>
      <c r="N82">
        <v>5</v>
      </c>
      <c r="O82">
        <v>5</v>
      </c>
      <c r="P82">
        <v>0</v>
      </c>
      <c r="Q82">
        <v>0</v>
      </c>
      <c r="R82">
        <v>0</v>
      </c>
      <c r="S82">
        <v>10</v>
      </c>
      <c r="T82">
        <v>0</v>
      </c>
      <c r="U82">
        <v>25</v>
      </c>
      <c r="V82" t="s">
        <v>15</v>
      </c>
      <c r="W82" t="s">
        <v>308</v>
      </c>
    </row>
    <row r="83" spans="1:23">
      <c r="A83">
        <v>7921202014</v>
      </c>
      <c r="B83" t="s">
        <v>11</v>
      </c>
      <c r="C83" t="s">
        <v>126</v>
      </c>
      <c r="D83" t="s">
        <v>97</v>
      </c>
      <c r="E83" t="s">
        <v>42</v>
      </c>
      <c r="F83" t="s">
        <v>319</v>
      </c>
      <c r="G83" t="s">
        <v>451</v>
      </c>
      <c r="H83" t="s">
        <v>452</v>
      </c>
      <c r="J83" t="s">
        <v>480</v>
      </c>
      <c r="K83">
        <v>1</v>
      </c>
      <c r="L83" t="s">
        <v>321</v>
      </c>
      <c r="M83">
        <v>5</v>
      </c>
      <c r="N83">
        <v>5</v>
      </c>
      <c r="O83">
        <v>5</v>
      </c>
      <c r="P83">
        <v>0</v>
      </c>
      <c r="Q83">
        <v>0</v>
      </c>
      <c r="R83">
        <v>10</v>
      </c>
      <c r="S83">
        <v>0</v>
      </c>
      <c r="T83">
        <v>0</v>
      </c>
      <c r="U83">
        <v>25</v>
      </c>
      <c r="V83" t="s">
        <v>15</v>
      </c>
      <c r="W83" t="s">
        <v>322</v>
      </c>
    </row>
    <row r="84" spans="1:23">
      <c r="A84">
        <v>7923927122</v>
      </c>
      <c r="B84" t="s">
        <v>11</v>
      </c>
      <c r="C84" t="s">
        <v>68</v>
      </c>
      <c r="D84" t="s">
        <v>68</v>
      </c>
      <c r="E84" t="s">
        <v>42</v>
      </c>
      <c r="F84" t="s">
        <v>312</v>
      </c>
      <c r="G84" t="s">
        <v>495</v>
      </c>
      <c r="J84" t="s">
        <v>480</v>
      </c>
      <c r="K84">
        <v>1</v>
      </c>
      <c r="L84" t="s">
        <v>313</v>
      </c>
      <c r="M84">
        <v>15</v>
      </c>
      <c r="N84">
        <v>0</v>
      </c>
      <c r="O84">
        <v>0</v>
      </c>
      <c r="P84">
        <v>0</v>
      </c>
      <c r="Q84">
        <v>0</v>
      </c>
      <c r="R84">
        <v>10</v>
      </c>
      <c r="S84">
        <v>0</v>
      </c>
      <c r="T84">
        <v>0</v>
      </c>
      <c r="U84">
        <v>25</v>
      </c>
      <c r="V84" t="s">
        <v>15</v>
      </c>
      <c r="W84" t="s">
        <v>314</v>
      </c>
    </row>
    <row r="85" spans="1:23">
      <c r="A85">
        <v>7927446001</v>
      </c>
      <c r="B85" t="s">
        <v>11</v>
      </c>
      <c r="C85" t="s">
        <v>41</v>
      </c>
      <c r="D85" t="s">
        <v>41</v>
      </c>
      <c r="E85" t="s">
        <v>42</v>
      </c>
      <c r="F85" t="s">
        <v>323</v>
      </c>
      <c r="G85" t="s">
        <v>451</v>
      </c>
      <c r="H85" t="s">
        <v>452</v>
      </c>
      <c r="J85" t="s">
        <v>469</v>
      </c>
      <c r="K85">
        <v>1</v>
      </c>
      <c r="L85" t="s">
        <v>324</v>
      </c>
      <c r="M85">
        <v>5</v>
      </c>
      <c r="N85">
        <v>5</v>
      </c>
      <c r="O85">
        <v>5</v>
      </c>
      <c r="P85">
        <v>0</v>
      </c>
      <c r="Q85">
        <v>0</v>
      </c>
      <c r="R85">
        <v>10</v>
      </c>
      <c r="S85">
        <v>0</v>
      </c>
      <c r="T85">
        <v>0</v>
      </c>
      <c r="U85">
        <v>25</v>
      </c>
      <c r="V85" t="s">
        <v>15</v>
      </c>
      <c r="W85" t="s">
        <v>325</v>
      </c>
    </row>
    <row r="86" spans="1:23">
      <c r="A86">
        <v>7928241200</v>
      </c>
      <c r="B86" t="s">
        <v>11</v>
      </c>
      <c r="C86" t="s">
        <v>327</v>
      </c>
      <c r="D86" t="s">
        <v>177</v>
      </c>
      <c r="E86" t="s">
        <v>76</v>
      </c>
      <c r="F86" t="s">
        <v>326</v>
      </c>
      <c r="G86" t="s">
        <v>451</v>
      </c>
      <c r="H86" t="s">
        <v>452</v>
      </c>
      <c r="J86" t="s">
        <v>480</v>
      </c>
      <c r="K86">
        <v>1</v>
      </c>
      <c r="L86" t="s">
        <v>329</v>
      </c>
      <c r="M86">
        <v>5</v>
      </c>
      <c r="N86">
        <v>5</v>
      </c>
      <c r="O86">
        <v>5</v>
      </c>
      <c r="P86">
        <v>0</v>
      </c>
      <c r="Q86">
        <v>0</v>
      </c>
      <c r="R86">
        <v>10</v>
      </c>
      <c r="S86">
        <v>0</v>
      </c>
      <c r="T86">
        <v>0</v>
      </c>
      <c r="U86">
        <v>25</v>
      </c>
      <c r="V86" t="s">
        <v>15</v>
      </c>
      <c r="W86" t="s">
        <v>330</v>
      </c>
    </row>
    <row r="87" spans="1:23">
      <c r="A87">
        <v>7942485096</v>
      </c>
      <c r="B87" t="s">
        <v>11</v>
      </c>
      <c r="C87" t="s">
        <v>316</v>
      </c>
      <c r="D87" t="s">
        <v>108</v>
      </c>
      <c r="E87" t="s">
        <v>42</v>
      </c>
      <c r="F87" t="s">
        <v>315</v>
      </c>
      <c r="G87" t="s">
        <v>451</v>
      </c>
      <c r="J87" t="s">
        <v>480</v>
      </c>
      <c r="K87">
        <v>1</v>
      </c>
      <c r="L87" t="s">
        <v>317</v>
      </c>
      <c r="M87">
        <v>5</v>
      </c>
      <c r="N87">
        <v>5</v>
      </c>
      <c r="O87">
        <v>5</v>
      </c>
      <c r="P87">
        <v>0</v>
      </c>
      <c r="Q87">
        <v>0</v>
      </c>
      <c r="R87">
        <v>10</v>
      </c>
      <c r="S87">
        <v>0</v>
      </c>
      <c r="T87">
        <v>0</v>
      </c>
      <c r="U87">
        <v>25</v>
      </c>
      <c r="V87" t="s">
        <v>15</v>
      </c>
      <c r="W87" t="s">
        <v>318</v>
      </c>
    </row>
    <row r="88" spans="1:23">
      <c r="A88">
        <v>7955430075</v>
      </c>
      <c r="B88" t="s">
        <v>11</v>
      </c>
      <c r="C88" t="s">
        <v>540</v>
      </c>
      <c r="D88" t="s">
        <v>210</v>
      </c>
      <c r="E88" t="s">
        <v>42</v>
      </c>
      <c r="F88" t="s">
        <v>437</v>
      </c>
      <c r="I88" t="s">
        <v>438</v>
      </c>
      <c r="L88" t="s">
        <v>439</v>
      </c>
      <c r="M88">
        <v>5</v>
      </c>
      <c r="N88">
        <v>5</v>
      </c>
      <c r="O88">
        <v>5</v>
      </c>
      <c r="P88">
        <v>0</v>
      </c>
      <c r="Q88">
        <v>0</v>
      </c>
      <c r="R88">
        <v>0</v>
      </c>
      <c r="S88">
        <v>10</v>
      </c>
      <c r="T88">
        <v>0</v>
      </c>
      <c r="U88">
        <v>25</v>
      </c>
      <c r="V88" t="s">
        <v>15</v>
      </c>
      <c r="W88" t="s">
        <v>541</v>
      </c>
    </row>
    <row r="89" spans="1:23">
      <c r="A89">
        <v>7955686076</v>
      </c>
      <c r="B89" t="s">
        <v>11</v>
      </c>
      <c r="C89" t="s">
        <v>335</v>
      </c>
      <c r="D89" t="s">
        <v>336</v>
      </c>
      <c r="E89" t="s">
        <v>76</v>
      </c>
      <c r="F89" t="s">
        <v>437</v>
      </c>
      <c r="I89" t="s">
        <v>438</v>
      </c>
      <c r="L89" t="s">
        <v>439</v>
      </c>
      <c r="M89">
        <v>5</v>
      </c>
      <c r="N89">
        <v>5</v>
      </c>
      <c r="O89">
        <v>0</v>
      </c>
      <c r="P89">
        <v>0</v>
      </c>
      <c r="Q89">
        <v>15</v>
      </c>
      <c r="R89">
        <v>0</v>
      </c>
      <c r="S89">
        <v>0</v>
      </c>
      <c r="T89">
        <v>0</v>
      </c>
      <c r="U89">
        <v>25</v>
      </c>
      <c r="V89" t="s">
        <v>15</v>
      </c>
      <c r="W89" t="s">
        <v>542</v>
      </c>
    </row>
    <row r="90" spans="1:23">
      <c r="A90">
        <v>7955946007</v>
      </c>
      <c r="B90" t="s">
        <v>11</v>
      </c>
      <c r="C90" t="s">
        <v>186</v>
      </c>
      <c r="D90" t="s">
        <v>186</v>
      </c>
      <c r="E90" t="s">
        <v>42</v>
      </c>
      <c r="F90" t="s">
        <v>309</v>
      </c>
      <c r="G90" t="s">
        <v>451</v>
      </c>
      <c r="J90" t="s">
        <v>447</v>
      </c>
      <c r="K90">
        <v>1</v>
      </c>
      <c r="L90" t="s">
        <v>310</v>
      </c>
      <c r="M90">
        <v>5</v>
      </c>
      <c r="N90">
        <v>5</v>
      </c>
      <c r="O90">
        <v>5</v>
      </c>
      <c r="P90">
        <v>0</v>
      </c>
      <c r="Q90">
        <v>0</v>
      </c>
      <c r="R90">
        <v>0</v>
      </c>
      <c r="S90">
        <v>10</v>
      </c>
      <c r="T90">
        <v>0</v>
      </c>
      <c r="U90">
        <v>25</v>
      </c>
      <c r="V90" t="s">
        <v>15</v>
      </c>
      <c r="W90" t="s">
        <v>311</v>
      </c>
    </row>
    <row r="91" spans="1:23">
      <c r="A91">
        <v>7901110084</v>
      </c>
      <c r="B91" t="s">
        <v>11</v>
      </c>
      <c r="C91" t="s">
        <v>210</v>
      </c>
      <c r="D91" t="s">
        <v>210</v>
      </c>
      <c r="E91" t="s">
        <v>42</v>
      </c>
      <c r="F91" t="s">
        <v>331</v>
      </c>
      <c r="G91" t="s">
        <v>451</v>
      </c>
      <c r="L91" t="s">
        <v>332</v>
      </c>
      <c r="M91">
        <v>5</v>
      </c>
      <c r="N91">
        <v>5</v>
      </c>
      <c r="O91">
        <v>0</v>
      </c>
      <c r="P91">
        <v>0</v>
      </c>
      <c r="Q91">
        <v>0</v>
      </c>
      <c r="R91">
        <v>0</v>
      </c>
      <c r="S91">
        <v>10</v>
      </c>
      <c r="T91">
        <v>0</v>
      </c>
      <c r="U91">
        <v>20</v>
      </c>
      <c r="V91" t="s">
        <v>15</v>
      </c>
      <c r="W91" t="s">
        <v>333</v>
      </c>
    </row>
    <row r="92" spans="1:23">
      <c r="A92">
        <v>7908206074</v>
      </c>
      <c r="B92" t="s">
        <v>11</v>
      </c>
      <c r="C92" t="s">
        <v>75</v>
      </c>
      <c r="D92" t="s">
        <v>75</v>
      </c>
      <c r="E92" t="s">
        <v>76</v>
      </c>
      <c r="F92" t="s">
        <v>437</v>
      </c>
      <c r="I92" t="s">
        <v>438</v>
      </c>
      <c r="L92" t="s">
        <v>439</v>
      </c>
      <c r="M92">
        <v>5</v>
      </c>
      <c r="N92">
        <v>5</v>
      </c>
      <c r="O92">
        <v>0</v>
      </c>
      <c r="P92">
        <v>0</v>
      </c>
      <c r="Q92">
        <v>0</v>
      </c>
      <c r="R92">
        <v>0</v>
      </c>
      <c r="S92">
        <v>10</v>
      </c>
      <c r="T92">
        <v>0</v>
      </c>
      <c r="U92">
        <v>20</v>
      </c>
      <c r="V92" t="s">
        <v>15</v>
      </c>
      <c r="W92" t="s">
        <v>543</v>
      </c>
    </row>
    <row r="93" spans="1:23">
      <c r="A93">
        <v>7908708116</v>
      </c>
      <c r="B93" t="s">
        <v>11</v>
      </c>
      <c r="C93" t="s">
        <v>200</v>
      </c>
      <c r="D93" t="s">
        <v>75</v>
      </c>
      <c r="E93" t="s">
        <v>76</v>
      </c>
      <c r="F93" t="s">
        <v>437</v>
      </c>
      <c r="G93" t="s">
        <v>484</v>
      </c>
      <c r="J93" t="s">
        <v>544</v>
      </c>
      <c r="L93" t="s">
        <v>439</v>
      </c>
      <c r="M93">
        <v>5</v>
      </c>
      <c r="N93">
        <v>5</v>
      </c>
      <c r="O93">
        <v>0</v>
      </c>
      <c r="P93">
        <v>0</v>
      </c>
      <c r="Q93">
        <v>0</v>
      </c>
      <c r="R93">
        <v>0</v>
      </c>
      <c r="S93">
        <v>10</v>
      </c>
      <c r="T93">
        <v>0</v>
      </c>
      <c r="U93">
        <v>20</v>
      </c>
      <c r="V93" t="s">
        <v>15</v>
      </c>
      <c r="W93" t="s">
        <v>545</v>
      </c>
    </row>
    <row r="94" spans="1:23">
      <c r="A94">
        <v>7910027196</v>
      </c>
      <c r="B94" t="s">
        <v>11</v>
      </c>
      <c r="C94" t="s">
        <v>546</v>
      </c>
      <c r="D94" t="s">
        <v>62</v>
      </c>
      <c r="E94" t="s">
        <v>42</v>
      </c>
      <c r="F94" t="s">
        <v>437</v>
      </c>
      <c r="G94" t="s">
        <v>547</v>
      </c>
      <c r="J94" t="s">
        <v>548</v>
      </c>
      <c r="L94" t="s">
        <v>439</v>
      </c>
      <c r="M94">
        <v>5</v>
      </c>
      <c r="N94">
        <v>5</v>
      </c>
      <c r="O94">
        <v>0</v>
      </c>
      <c r="P94">
        <v>0</v>
      </c>
      <c r="Q94">
        <v>0</v>
      </c>
      <c r="R94">
        <v>0</v>
      </c>
      <c r="S94">
        <v>10</v>
      </c>
      <c r="T94">
        <v>0</v>
      </c>
      <c r="U94">
        <v>20</v>
      </c>
      <c r="V94" t="s">
        <v>15</v>
      </c>
      <c r="W94" t="s">
        <v>549</v>
      </c>
    </row>
    <row r="95" spans="1:23">
      <c r="A95">
        <v>7913662076</v>
      </c>
      <c r="B95" t="s">
        <v>11</v>
      </c>
      <c r="C95" t="s">
        <v>335</v>
      </c>
      <c r="D95" t="s">
        <v>336</v>
      </c>
      <c r="E95" t="s">
        <v>76</v>
      </c>
      <c r="F95" t="s">
        <v>334</v>
      </c>
      <c r="G95" t="s">
        <v>550</v>
      </c>
      <c r="L95" t="s">
        <v>338</v>
      </c>
      <c r="M95">
        <v>5</v>
      </c>
      <c r="N95">
        <v>5</v>
      </c>
      <c r="O95">
        <v>0</v>
      </c>
      <c r="P95">
        <v>0</v>
      </c>
      <c r="Q95">
        <v>0</v>
      </c>
      <c r="R95">
        <v>10</v>
      </c>
      <c r="S95">
        <v>0</v>
      </c>
      <c r="T95">
        <v>0</v>
      </c>
      <c r="U95">
        <v>20</v>
      </c>
      <c r="V95" t="s">
        <v>15</v>
      </c>
      <c r="W95" t="s">
        <v>339</v>
      </c>
    </row>
    <row r="96" spans="1:23">
      <c r="A96">
        <v>5862236091</v>
      </c>
      <c r="B96" t="s">
        <v>10</v>
      </c>
      <c r="C96" t="s">
        <v>74</v>
      </c>
      <c r="D96" t="s">
        <v>75</v>
      </c>
      <c r="E96" t="s">
        <v>76</v>
      </c>
      <c r="F96" t="s">
        <v>340</v>
      </c>
      <c r="G96" t="s">
        <v>451</v>
      </c>
      <c r="J96" t="s">
        <v>444</v>
      </c>
      <c r="K96">
        <v>1</v>
      </c>
      <c r="L96" t="s">
        <v>551</v>
      </c>
      <c r="M96">
        <v>0</v>
      </c>
      <c r="N96">
        <v>0</v>
      </c>
      <c r="O96">
        <v>0</v>
      </c>
      <c r="P96">
        <v>20</v>
      </c>
      <c r="Q96">
        <v>0</v>
      </c>
      <c r="R96" t="s">
        <v>45</v>
      </c>
      <c r="S96" t="s">
        <v>45</v>
      </c>
      <c r="T96" t="s">
        <v>45</v>
      </c>
      <c r="U96">
        <v>20</v>
      </c>
      <c r="V96" t="s">
        <v>15</v>
      </c>
      <c r="W96" t="s">
        <v>343</v>
      </c>
    </row>
    <row r="97" spans="1:23">
      <c r="A97">
        <v>5836786094</v>
      </c>
      <c r="B97" t="s">
        <v>10</v>
      </c>
      <c r="C97" t="s">
        <v>177</v>
      </c>
      <c r="D97" t="s">
        <v>177</v>
      </c>
      <c r="E97" t="s">
        <v>76</v>
      </c>
      <c r="F97" t="s">
        <v>344</v>
      </c>
      <c r="G97" t="s">
        <v>552</v>
      </c>
      <c r="L97" t="s">
        <v>345</v>
      </c>
      <c r="M97">
        <v>0</v>
      </c>
      <c r="N97">
        <v>0</v>
      </c>
      <c r="O97">
        <v>0</v>
      </c>
      <c r="P97">
        <v>10</v>
      </c>
      <c r="Q97">
        <v>10</v>
      </c>
      <c r="R97" t="s">
        <v>45</v>
      </c>
      <c r="S97" t="s">
        <v>45</v>
      </c>
      <c r="T97" t="s">
        <v>45</v>
      </c>
      <c r="U97">
        <v>20</v>
      </c>
      <c r="V97" t="s">
        <v>15</v>
      </c>
      <c r="W97" t="s">
        <v>346</v>
      </c>
    </row>
    <row r="98" spans="1:23">
      <c r="A98">
        <v>7919270014</v>
      </c>
      <c r="B98" t="s">
        <v>11</v>
      </c>
      <c r="C98" t="s">
        <v>126</v>
      </c>
      <c r="D98" t="s">
        <v>97</v>
      </c>
      <c r="E98" t="s">
        <v>42</v>
      </c>
      <c r="F98" t="s">
        <v>347</v>
      </c>
      <c r="G98" t="s">
        <v>550</v>
      </c>
      <c r="L98" t="s">
        <v>349</v>
      </c>
      <c r="M98">
        <v>5</v>
      </c>
      <c r="N98">
        <v>5</v>
      </c>
      <c r="O98">
        <v>0</v>
      </c>
      <c r="P98">
        <v>0</v>
      </c>
      <c r="Q98">
        <v>0</v>
      </c>
      <c r="R98">
        <v>10</v>
      </c>
      <c r="S98">
        <v>0</v>
      </c>
      <c r="T98">
        <v>0</v>
      </c>
      <c r="U98">
        <v>20</v>
      </c>
      <c r="V98" t="s">
        <v>15</v>
      </c>
      <c r="W98" t="s">
        <v>350</v>
      </c>
    </row>
    <row r="99" spans="1:23">
      <c r="A99">
        <v>7926442035</v>
      </c>
      <c r="B99" t="s">
        <v>11</v>
      </c>
      <c r="C99" t="s">
        <v>234</v>
      </c>
      <c r="D99" t="s">
        <v>108</v>
      </c>
      <c r="E99" t="s">
        <v>42</v>
      </c>
      <c r="F99" t="s">
        <v>351</v>
      </c>
      <c r="G99" t="s">
        <v>451</v>
      </c>
      <c r="L99" t="s">
        <v>352</v>
      </c>
      <c r="M99">
        <v>5</v>
      </c>
      <c r="N99">
        <v>5</v>
      </c>
      <c r="O99">
        <v>0</v>
      </c>
      <c r="P99">
        <v>0</v>
      </c>
      <c r="Q99">
        <v>0</v>
      </c>
      <c r="R99">
        <v>0</v>
      </c>
      <c r="S99">
        <v>10</v>
      </c>
      <c r="T99">
        <v>0</v>
      </c>
      <c r="U99">
        <v>20</v>
      </c>
      <c r="V99" t="s">
        <v>15</v>
      </c>
      <c r="W99" t="s">
        <v>353</v>
      </c>
    </row>
    <row r="100" spans="1:23">
      <c r="A100">
        <v>7954668084</v>
      </c>
      <c r="B100" t="s">
        <v>11</v>
      </c>
      <c r="C100" t="s">
        <v>210</v>
      </c>
      <c r="D100" t="s">
        <v>210</v>
      </c>
      <c r="E100" t="s">
        <v>42</v>
      </c>
      <c r="F100" t="s">
        <v>437</v>
      </c>
      <c r="J100" t="s">
        <v>553</v>
      </c>
      <c r="L100" t="s">
        <v>439</v>
      </c>
      <c r="M100">
        <v>5</v>
      </c>
      <c r="N100">
        <v>5</v>
      </c>
      <c r="O100">
        <v>0</v>
      </c>
      <c r="P100">
        <v>0</v>
      </c>
      <c r="Q100">
        <v>0</v>
      </c>
      <c r="R100">
        <v>0</v>
      </c>
      <c r="S100">
        <v>10</v>
      </c>
      <c r="U100">
        <v>20</v>
      </c>
      <c r="V100" t="s">
        <v>15</v>
      </c>
      <c r="W100" t="s">
        <v>554</v>
      </c>
    </row>
    <row r="101" spans="1:23">
      <c r="A101">
        <v>7938137007</v>
      </c>
      <c r="B101" t="s">
        <v>11</v>
      </c>
      <c r="C101" t="s">
        <v>186</v>
      </c>
      <c r="D101" t="s">
        <v>186</v>
      </c>
      <c r="E101" t="s">
        <v>42</v>
      </c>
      <c r="F101" t="s">
        <v>354</v>
      </c>
      <c r="G101" t="s">
        <v>555</v>
      </c>
      <c r="J101" t="s">
        <v>556</v>
      </c>
      <c r="L101" t="s">
        <v>355</v>
      </c>
      <c r="M101">
        <v>5</v>
      </c>
      <c r="N101">
        <v>5</v>
      </c>
      <c r="O101">
        <v>5</v>
      </c>
      <c r="P101">
        <v>0</v>
      </c>
      <c r="Q101">
        <v>0</v>
      </c>
      <c r="R101">
        <v>0</v>
      </c>
      <c r="S101">
        <v>0</v>
      </c>
      <c r="T101">
        <v>0</v>
      </c>
      <c r="U101">
        <v>15</v>
      </c>
      <c r="V101" t="s">
        <v>15</v>
      </c>
      <c r="W101" t="s">
        <v>356</v>
      </c>
    </row>
    <row r="102" spans="1:23">
      <c r="A102">
        <v>5856156091</v>
      </c>
      <c r="B102" t="s">
        <v>10</v>
      </c>
      <c r="C102" t="s">
        <v>74</v>
      </c>
      <c r="D102" t="s">
        <v>75</v>
      </c>
      <c r="E102" t="s">
        <v>76</v>
      </c>
      <c r="F102" t="s">
        <v>357</v>
      </c>
      <c r="G102" t="s">
        <v>451</v>
      </c>
      <c r="H102" t="s">
        <v>557</v>
      </c>
      <c r="J102" t="s">
        <v>462</v>
      </c>
      <c r="K102">
        <v>3</v>
      </c>
      <c r="L102" t="s">
        <v>358</v>
      </c>
      <c r="M102">
        <v>0</v>
      </c>
      <c r="N102">
        <v>0</v>
      </c>
      <c r="O102">
        <v>0</v>
      </c>
      <c r="P102">
        <v>0</v>
      </c>
      <c r="Q102">
        <v>0</v>
      </c>
      <c r="R102" t="s">
        <v>45</v>
      </c>
      <c r="S102" t="s">
        <v>45</v>
      </c>
      <c r="T102" t="s">
        <v>45</v>
      </c>
      <c r="U102">
        <v>0</v>
      </c>
      <c r="V102" t="s">
        <v>15</v>
      </c>
      <c r="W102" t="s">
        <v>359</v>
      </c>
    </row>
    <row r="103" spans="1:23">
      <c r="A103">
        <v>5858783119</v>
      </c>
      <c r="B103" t="s">
        <v>10</v>
      </c>
      <c r="C103" t="s">
        <v>361</v>
      </c>
      <c r="D103" t="s">
        <v>223</v>
      </c>
      <c r="E103" t="s">
        <v>51</v>
      </c>
      <c r="F103" t="s">
        <v>360</v>
      </c>
      <c r="G103" t="s">
        <v>558</v>
      </c>
      <c r="J103" t="s">
        <v>559</v>
      </c>
      <c r="L103" t="s">
        <v>363</v>
      </c>
      <c r="M103">
        <v>0</v>
      </c>
      <c r="N103">
        <v>0</v>
      </c>
      <c r="O103">
        <v>0</v>
      </c>
      <c r="P103">
        <v>0</v>
      </c>
      <c r="Q103">
        <v>0</v>
      </c>
      <c r="R103" t="s">
        <v>45</v>
      </c>
      <c r="S103" t="s">
        <v>45</v>
      </c>
      <c r="T103" t="s">
        <v>45</v>
      </c>
      <c r="U103">
        <v>0</v>
      </c>
      <c r="V103" t="s">
        <v>15</v>
      </c>
      <c r="W103" t="s">
        <v>364</v>
      </c>
    </row>
    <row r="104" spans="1:23">
      <c r="A104">
        <v>7900532053</v>
      </c>
      <c r="B104" t="s">
        <v>11</v>
      </c>
      <c r="C104" t="s">
        <v>560</v>
      </c>
      <c r="D104" t="s">
        <v>223</v>
      </c>
      <c r="E104" t="s">
        <v>51</v>
      </c>
      <c r="F104" t="s">
        <v>437</v>
      </c>
      <c r="G104" t="s">
        <v>561</v>
      </c>
      <c r="J104" t="s">
        <v>453</v>
      </c>
      <c r="L104" t="s">
        <v>439</v>
      </c>
      <c r="M104">
        <v>0</v>
      </c>
      <c r="N104">
        <v>0</v>
      </c>
      <c r="O104">
        <v>0</v>
      </c>
      <c r="P104">
        <v>0</v>
      </c>
      <c r="Q104">
        <v>0</v>
      </c>
      <c r="R104">
        <v>0</v>
      </c>
      <c r="S104">
        <v>0</v>
      </c>
      <c r="T104">
        <v>0</v>
      </c>
      <c r="U104">
        <v>0</v>
      </c>
      <c r="V104" t="s">
        <v>15</v>
      </c>
      <c r="W104" t="s">
        <v>562</v>
      </c>
    </row>
    <row r="105" spans="1:23">
      <c r="A105">
        <v>7925713040</v>
      </c>
      <c r="B105" t="s">
        <v>11</v>
      </c>
      <c r="C105" t="s">
        <v>492</v>
      </c>
      <c r="D105" t="s">
        <v>57</v>
      </c>
      <c r="E105" t="s">
        <v>51</v>
      </c>
      <c r="F105" t="s">
        <v>437</v>
      </c>
      <c r="L105" t="s">
        <v>439</v>
      </c>
      <c r="U105">
        <v>0</v>
      </c>
    </row>
    <row r="106" spans="1:23">
      <c r="A106">
        <v>7948412064</v>
      </c>
      <c r="B106" t="s">
        <v>11</v>
      </c>
      <c r="C106" t="s">
        <v>563</v>
      </c>
      <c r="D106" t="s">
        <v>50</v>
      </c>
      <c r="E106" t="s">
        <v>51</v>
      </c>
      <c r="F106" t="s">
        <v>437</v>
      </c>
      <c r="L106" t="s">
        <v>439</v>
      </c>
      <c r="U106">
        <v>0</v>
      </c>
    </row>
    <row r="107" spans="1:23">
      <c r="A107">
        <v>7955832052</v>
      </c>
      <c r="B107" t="s">
        <v>11</v>
      </c>
      <c r="C107" t="s">
        <v>192</v>
      </c>
      <c r="D107" t="s">
        <v>192</v>
      </c>
      <c r="E107" t="s">
        <v>76</v>
      </c>
      <c r="F107" t="s">
        <v>365</v>
      </c>
      <c r="L107" t="s">
        <v>367</v>
      </c>
      <c r="U107">
        <v>0</v>
      </c>
    </row>
    <row r="108" spans="1:23">
      <c r="A108">
        <v>7930359149</v>
      </c>
      <c r="B108" t="s">
        <v>11</v>
      </c>
      <c r="C108" t="s">
        <v>257</v>
      </c>
      <c r="D108" t="s">
        <v>210</v>
      </c>
      <c r="E108" t="s">
        <v>42</v>
      </c>
      <c r="F108" t="s">
        <v>369</v>
      </c>
      <c r="L108" t="s">
        <v>371</v>
      </c>
      <c r="U108">
        <v>0</v>
      </c>
    </row>
    <row r="109" spans="1:23">
      <c r="A109">
        <v>7902098003</v>
      </c>
      <c r="B109" t="s">
        <v>11</v>
      </c>
      <c r="C109" t="s">
        <v>336</v>
      </c>
      <c r="D109" t="s">
        <v>336</v>
      </c>
      <c r="E109" t="s">
        <v>76</v>
      </c>
      <c r="F109" t="s">
        <v>372</v>
      </c>
      <c r="L109" t="s">
        <v>374</v>
      </c>
      <c r="U109">
        <v>0</v>
      </c>
    </row>
    <row r="110" spans="1:23">
      <c r="A110">
        <v>7953211079</v>
      </c>
      <c r="B110" t="s">
        <v>11</v>
      </c>
      <c r="C110" t="s">
        <v>376</v>
      </c>
      <c r="D110" t="s">
        <v>50</v>
      </c>
      <c r="E110" t="s">
        <v>51</v>
      </c>
      <c r="F110" t="s">
        <v>375</v>
      </c>
      <c r="L110" t="s">
        <v>378</v>
      </c>
      <c r="U110">
        <v>0</v>
      </c>
    </row>
    <row r="111" spans="1:23">
      <c r="A111">
        <v>7949648145</v>
      </c>
      <c r="B111" t="s">
        <v>11</v>
      </c>
      <c r="C111" t="s">
        <v>380</v>
      </c>
      <c r="D111" t="s">
        <v>132</v>
      </c>
      <c r="E111" t="s">
        <v>51</v>
      </c>
      <c r="F111" t="s">
        <v>379</v>
      </c>
      <c r="L111" t="s">
        <v>382</v>
      </c>
      <c r="U111">
        <v>0</v>
      </c>
    </row>
    <row r="112" spans="1:23">
      <c r="A112">
        <v>7957021094</v>
      </c>
      <c r="B112" t="s">
        <v>11</v>
      </c>
      <c r="C112" t="s">
        <v>177</v>
      </c>
      <c r="D112" t="s">
        <v>177</v>
      </c>
      <c r="E112" t="s">
        <v>76</v>
      </c>
      <c r="F112" t="s">
        <v>437</v>
      </c>
      <c r="L112" t="s">
        <v>439</v>
      </c>
      <c r="U112">
        <v>0</v>
      </c>
    </row>
    <row r="113" spans="1:21">
      <c r="A113">
        <v>7908300096</v>
      </c>
      <c r="B113" t="s">
        <v>11</v>
      </c>
      <c r="C113" t="s">
        <v>316</v>
      </c>
      <c r="D113" t="s">
        <v>108</v>
      </c>
      <c r="E113" t="s">
        <v>42</v>
      </c>
      <c r="F113" t="s">
        <v>383</v>
      </c>
      <c r="L113" t="s">
        <v>384</v>
      </c>
      <c r="U113">
        <v>0</v>
      </c>
    </row>
    <row r="114" spans="1:21">
      <c r="A114">
        <v>7953570026</v>
      </c>
      <c r="B114" t="s">
        <v>11</v>
      </c>
      <c r="C114" t="s">
        <v>108</v>
      </c>
      <c r="D114" t="s">
        <v>108</v>
      </c>
      <c r="E114" t="s">
        <v>42</v>
      </c>
      <c r="F114" t="s">
        <v>385</v>
      </c>
      <c r="L114" t="s">
        <v>386</v>
      </c>
      <c r="U114">
        <v>0</v>
      </c>
    </row>
    <row r="115" spans="1:21">
      <c r="A115">
        <v>7911120026</v>
      </c>
      <c r="B115" t="s">
        <v>11</v>
      </c>
      <c r="C115" t="s">
        <v>108</v>
      </c>
      <c r="D115" t="s">
        <v>108</v>
      </c>
      <c r="E115" t="s">
        <v>42</v>
      </c>
      <c r="F115" t="s">
        <v>387</v>
      </c>
      <c r="G115" t="s">
        <v>497</v>
      </c>
      <c r="L115" t="s">
        <v>389</v>
      </c>
      <c r="U115">
        <v>0</v>
      </c>
    </row>
    <row r="116" spans="1:21">
      <c r="A116">
        <v>5820790038</v>
      </c>
      <c r="B116" t="s">
        <v>10</v>
      </c>
      <c r="C116" t="s">
        <v>564</v>
      </c>
      <c r="D116" t="s">
        <v>75</v>
      </c>
      <c r="E116" t="s">
        <v>76</v>
      </c>
      <c r="F116" t="s">
        <v>437</v>
      </c>
      <c r="L116" t="s">
        <v>439</v>
      </c>
      <c r="U116">
        <v>0</v>
      </c>
    </row>
    <row r="117" spans="1:21">
      <c r="A117">
        <v>7934697002</v>
      </c>
      <c r="B117" t="s">
        <v>11</v>
      </c>
      <c r="C117" t="s">
        <v>223</v>
      </c>
      <c r="D117" t="s">
        <v>223</v>
      </c>
      <c r="E117" t="s">
        <v>51</v>
      </c>
      <c r="F117" t="s">
        <v>437</v>
      </c>
      <c r="L117" t="s">
        <v>439</v>
      </c>
      <c r="U117">
        <v>0</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ADE3D-1447-4665-A98F-5317D339A57E}">
  <dimension ref="A2:E35"/>
  <sheetViews>
    <sheetView workbookViewId="0">
      <selection activeCell="B34" sqref="B29:B34"/>
    </sheetView>
  </sheetViews>
  <sheetFormatPr defaultRowHeight="15"/>
  <cols>
    <col min="1" max="1" width="57.85546875" bestFit="1" customWidth="1"/>
    <col min="2" max="2" width="18.140625" bestFit="1" customWidth="1"/>
    <col min="3" max="3" width="15" customWidth="1"/>
    <col min="4" max="4" width="51.5703125" bestFit="1" customWidth="1"/>
    <col min="5" max="5" width="22.28515625" bestFit="1" customWidth="1"/>
    <col min="6" max="7" width="15" customWidth="1"/>
  </cols>
  <sheetData>
    <row r="2" spans="1:5">
      <c r="D2" s="13" t="s">
        <v>432</v>
      </c>
      <c r="E2" t="s">
        <v>445</v>
      </c>
    </row>
    <row r="3" spans="1:5">
      <c r="A3" s="13" t="s">
        <v>565</v>
      </c>
      <c r="B3" t="s">
        <v>566</v>
      </c>
    </row>
    <row r="4" spans="1:5">
      <c r="A4" s="10" t="s">
        <v>9</v>
      </c>
      <c r="B4">
        <v>30</v>
      </c>
      <c r="D4" s="13" t="s">
        <v>565</v>
      </c>
      <c r="E4" t="s">
        <v>566</v>
      </c>
    </row>
    <row r="5" spans="1:5">
      <c r="A5" s="48" t="s">
        <v>482</v>
      </c>
      <c r="B5">
        <v>4</v>
      </c>
      <c r="D5" s="10" t="s">
        <v>9</v>
      </c>
      <c r="E5">
        <v>3</v>
      </c>
    </row>
    <row r="6" spans="1:5">
      <c r="A6" s="48" t="s">
        <v>471</v>
      </c>
      <c r="B6">
        <v>3</v>
      </c>
      <c r="D6" s="48" t="s">
        <v>567</v>
      </c>
      <c r="E6">
        <v>2</v>
      </c>
    </row>
    <row r="7" spans="1:5">
      <c r="A7" s="48" t="s">
        <v>451</v>
      </c>
      <c r="B7">
        <v>7</v>
      </c>
      <c r="D7" s="48" t="s">
        <v>568</v>
      </c>
      <c r="E7">
        <v>1</v>
      </c>
    </row>
    <row r="8" spans="1:5">
      <c r="A8" s="48" t="s">
        <v>467</v>
      </c>
      <c r="B8">
        <v>1</v>
      </c>
      <c r="D8" s="10" t="s">
        <v>13</v>
      </c>
      <c r="E8">
        <v>1</v>
      </c>
    </row>
    <row r="9" spans="1:5">
      <c r="A9" s="48" t="s">
        <v>445</v>
      </c>
      <c r="B9">
        <v>3</v>
      </c>
      <c r="D9" s="48" t="s">
        <v>569</v>
      </c>
      <c r="E9">
        <v>1</v>
      </c>
    </row>
    <row r="10" spans="1:5">
      <c r="A10" s="48" t="s">
        <v>570</v>
      </c>
      <c r="B10">
        <v>2</v>
      </c>
      <c r="D10" s="10" t="s">
        <v>14</v>
      </c>
      <c r="E10">
        <v>1</v>
      </c>
    </row>
    <row r="11" spans="1:5">
      <c r="A11" s="48" t="s">
        <v>571</v>
      </c>
      <c r="B11">
        <v>10</v>
      </c>
      <c r="D11" s="48" t="s">
        <v>567</v>
      </c>
      <c r="E11">
        <v>1</v>
      </c>
    </row>
    <row r="12" spans="1:5">
      <c r="A12" s="10" t="s">
        <v>13</v>
      </c>
      <c r="B12">
        <v>21</v>
      </c>
      <c r="D12" s="10" t="s">
        <v>12</v>
      </c>
      <c r="E12">
        <v>5</v>
      </c>
    </row>
    <row r="13" spans="1:5">
      <c r="A13" s="48" t="s">
        <v>484</v>
      </c>
      <c r="B13">
        <v>1</v>
      </c>
    </row>
    <row r="14" spans="1:5">
      <c r="A14" s="48" t="s">
        <v>471</v>
      </c>
      <c r="B14">
        <v>5</v>
      </c>
      <c r="D14" s="13" t="s">
        <v>432</v>
      </c>
      <c r="E14" t="s">
        <v>467</v>
      </c>
    </row>
    <row r="15" spans="1:5">
      <c r="A15" s="48" t="s">
        <v>451</v>
      </c>
      <c r="B15">
        <v>5</v>
      </c>
    </row>
    <row r="16" spans="1:5">
      <c r="A16" s="48" t="s">
        <v>467</v>
      </c>
      <c r="B16">
        <v>2</v>
      </c>
      <c r="D16" s="13" t="s">
        <v>565</v>
      </c>
      <c r="E16" t="s">
        <v>566</v>
      </c>
    </row>
    <row r="17" spans="1:5">
      <c r="A17" s="48" t="s">
        <v>445</v>
      </c>
      <c r="B17">
        <v>1</v>
      </c>
      <c r="D17" s="10" t="s">
        <v>9</v>
      </c>
      <c r="E17">
        <v>1</v>
      </c>
    </row>
    <row r="18" spans="1:5">
      <c r="A18" s="48" t="s">
        <v>495</v>
      </c>
      <c r="B18">
        <v>1</v>
      </c>
      <c r="D18" s="48" t="s">
        <v>572</v>
      </c>
      <c r="E18">
        <v>1</v>
      </c>
    </row>
    <row r="19" spans="1:5">
      <c r="A19" s="48" t="s">
        <v>498</v>
      </c>
      <c r="B19">
        <v>1</v>
      </c>
      <c r="D19" s="10" t="s">
        <v>13</v>
      </c>
      <c r="E19">
        <v>2</v>
      </c>
    </row>
    <row r="20" spans="1:5">
      <c r="A20" s="48" t="s">
        <v>573</v>
      </c>
      <c r="B20">
        <v>1</v>
      </c>
      <c r="D20" s="48" t="s">
        <v>572</v>
      </c>
      <c r="E20">
        <v>1</v>
      </c>
    </row>
    <row r="21" spans="1:5">
      <c r="A21" s="48" t="s">
        <v>571</v>
      </c>
      <c r="B21">
        <v>4</v>
      </c>
      <c r="D21" s="48" t="s">
        <v>574</v>
      </c>
      <c r="E21">
        <v>1</v>
      </c>
    </row>
    <row r="22" spans="1:5">
      <c r="A22" s="10" t="s">
        <v>14</v>
      </c>
      <c r="B22">
        <v>25</v>
      </c>
      <c r="D22" s="10" t="s">
        <v>15</v>
      </c>
      <c r="E22">
        <v>2</v>
      </c>
    </row>
    <row r="23" spans="1:5">
      <c r="A23" s="48" t="s">
        <v>482</v>
      </c>
      <c r="B23">
        <v>4</v>
      </c>
      <c r="D23" s="48" t="s">
        <v>575</v>
      </c>
      <c r="E23">
        <v>1</v>
      </c>
    </row>
    <row r="24" spans="1:5">
      <c r="A24" s="48" t="s">
        <v>451</v>
      </c>
      <c r="B24">
        <v>13</v>
      </c>
      <c r="D24" s="48" t="s">
        <v>534</v>
      </c>
      <c r="E24">
        <v>1</v>
      </c>
    </row>
    <row r="25" spans="1:5">
      <c r="A25" s="48" t="s">
        <v>445</v>
      </c>
      <c r="B25">
        <v>1</v>
      </c>
      <c r="D25" s="10" t="s">
        <v>12</v>
      </c>
      <c r="E25">
        <v>5</v>
      </c>
    </row>
    <row r="26" spans="1:5">
      <c r="A26" s="48" t="s">
        <v>497</v>
      </c>
      <c r="B26">
        <v>1</v>
      </c>
    </row>
    <row r="27" spans="1:5">
      <c r="A27" s="48" t="s">
        <v>571</v>
      </c>
      <c r="B27">
        <v>6</v>
      </c>
    </row>
    <row r="28" spans="1:5">
      <c r="A28" s="10" t="s">
        <v>15</v>
      </c>
      <c r="B28">
        <v>27</v>
      </c>
    </row>
    <row r="29" spans="1:5">
      <c r="A29" s="48" t="s">
        <v>484</v>
      </c>
      <c r="B29">
        <v>1</v>
      </c>
    </row>
    <row r="30" spans="1:5">
      <c r="A30" s="48" t="s">
        <v>576</v>
      </c>
      <c r="B30">
        <v>1</v>
      </c>
    </row>
    <row r="31" spans="1:5">
      <c r="A31" s="48" t="s">
        <v>451</v>
      </c>
      <c r="B31">
        <v>16</v>
      </c>
    </row>
    <row r="32" spans="1:5">
      <c r="A32" s="48" t="s">
        <v>467</v>
      </c>
      <c r="B32">
        <v>2</v>
      </c>
    </row>
    <row r="33" spans="1:2">
      <c r="A33" s="48" t="s">
        <v>561</v>
      </c>
      <c r="B33">
        <v>1</v>
      </c>
    </row>
    <row r="34" spans="1:2">
      <c r="A34" s="48" t="s">
        <v>571</v>
      </c>
      <c r="B34">
        <v>6</v>
      </c>
    </row>
    <row r="35" spans="1:2">
      <c r="A35" s="10" t="s">
        <v>12</v>
      </c>
      <c r="B35">
        <v>103</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FDBC2-B103-445C-98CB-621423E01279}">
  <dimension ref="A1:L40"/>
  <sheetViews>
    <sheetView workbookViewId="0">
      <selection activeCell="D1" sqref="D1"/>
    </sheetView>
  </sheetViews>
  <sheetFormatPr defaultRowHeight="15"/>
  <cols>
    <col min="1" max="1" width="10.42578125" bestFit="1" customWidth="1"/>
    <col min="2" max="2" width="21.42578125" bestFit="1" customWidth="1"/>
    <col min="3" max="3" width="14" bestFit="1" customWidth="1"/>
    <col min="4" max="4" width="18.42578125" bestFit="1" customWidth="1"/>
    <col min="5" max="5" width="17.42578125" bestFit="1" customWidth="1"/>
    <col min="6" max="6" width="19.140625" bestFit="1" customWidth="1"/>
    <col min="7" max="7" width="11.5703125" bestFit="1" customWidth="1"/>
    <col min="8" max="8" width="29.140625" bestFit="1" customWidth="1"/>
    <col min="9" max="9" width="23.5703125" bestFit="1" customWidth="1"/>
    <col min="10" max="10" width="12.42578125" bestFit="1" customWidth="1"/>
    <col min="11" max="11" width="16.5703125" bestFit="1" customWidth="1"/>
    <col min="12" max="12" width="81.140625" bestFit="1" customWidth="1"/>
  </cols>
  <sheetData>
    <row r="1" spans="1:12">
      <c r="A1" t="s">
        <v>17</v>
      </c>
      <c r="B1" t="s">
        <v>18</v>
      </c>
      <c r="C1" t="s">
        <v>0</v>
      </c>
      <c r="D1" t="s">
        <v>19</v>
      </c>
      <c r="E1" t="s">
        <v>21</v>
      </c>
      <c r="F1" t="s">
        <v>577</v>
      </c>
      <c r="G1" t="s">
        <v>22</v>
      </c>
      <c r="H1" t="s">
        <v>23</v>
      </c>
      <c r="I1" t="s">
        <v>24</v>
      </c>
      <c r="J1" t="s">
        <v>25</v>
      </c>
      <c r="K1" t="s">
        <v>26</v>
      </c>
      <c r="L1" t="s">
        <v>27</v>
      </c>
    </row>
    <row r="2" spans="1:12">
      <c r="A2">
        <v>2026</v>
      </c>
      <c r="B2" t="s">
        <v>578</v>
      </c>
      <c r="C2" t="s">
        <v>67</v>
      </c>
      <c r="D2">
        <v>5833578028</v>
      </c>
      <c r="E2" s="7">
        <v>46150</v>
      </c>
      <c r="F2" s="7">
        <v>46174</v>
      </c>
      <c r="G2">
        <v>28</v>
      </c>
      <c r="H2" t="s">
        <v>502</v>
      </c>
      <c r="I2" t="s">
        <v>75</v>
      </c>
      <c r="J2" t="s">
        <v>76</v>
      </c>
      <c r="K2" t="s">
        <v>77</v>
      </c>
      <c r="L2" t="s">
        <v>579</v>
      </c>
    </row>
    <row r="3" spans="1:12">
      <c r="A3">
        <v>2026</v>
      </c>
      <c r="B3" t="s">
        <v>580</v>
      </c>
      <c r="C3" t="s">
        <v>67</v>
      </c>
      <c r="D3">
        <v>7913657147</v>
      </c>
      <c r="E3" s="7">
        <v>46142</v>
      </c>
      <c r="F3" s="7">
        <v>46175</v>
      </c>
      <c r="G3">
        <v>147</v>
      </c>
      <c r="H3" t="s">
        <v>506</v>
      </c>
      <c r="I3" t="s">
        <v>75</v>
      </c>
      <c r="J3" t="s">
        <v>76</v>
      </c>
      <c r="K3" t="s">
        <v>399</v>
      </c>
      <c r="L3" t="s">
        <v>581</v>
      </c>
    </row>
    <row r="4" spans="1:12">
      <c r="A4">
        <v>2026</v>
      </c>
      <c r="B4" t="s">
        <v>582</v>
      </c>
      <c r="C4" t="s">
        <v>67</v>
      </c>
      <c r="D4">
        <v>7944353028</v>
      </c>
      <c r="E4" s="7">
        <v>46119</v>
      </c>
      <c r="F4" s="7">
        <v>46175</v>
      </c>
      <c r="G4">
        <v>28</v>
      </c>
      <c r="H4" t="s">
        <v>502</v>
      </c>
      <c r="I4" t="s">
        <v>75</v>
      </c>
      <c r="J4" t="s">
        <v>76</v>
      </c>
      <c r="K4" t="s">
        <v>77</v>
      </c>
      <c r="L4" t="s">
        <v>583</v>
      </c>
    </row>
    <row r="5" spans="1:12">
      <c r="A5">
        <v>2026</v>
      </c>
      <c r="B5" t="s">
        <v>584</v>
      </c>
      <c r="C5" t="s">
        <v>67</v>
      </c>
      <c r="D5">
        <v>7931863074</v>
      </c>
      <c r="E5" s="7">
        <v>46134</v>
      </c>
      <c r="F5" s="7">
        <v>46176</v>
      </c>
      <c r="G5">
        <v>74</v>
      </c>
      <c r="H5" t="s">
        <v>75</v>
      </c>
      <c r="I5" t="s">
        <v>75</v>
      </c>
      <c r="J5" t="s">
        <v>76</v>
      </c>
      <c r="K5" t="s">
        <v>585</v>
      </c>
      <c r="L5" t="s">
        <v>586</v>
      </c>
    </row>
    <row r="6" spans="1:12">
      <c r="A6">
        <v>2026</v>
      </c>
      <c r="B6" t="s">
        <v>587</v>
      </c>
      <c r="C6" t="s">
        <v>67</v>
      </c>
      <c r="D6">
        <v>7964803072</v>
      </c>
      <c r="E6" s="7">
        <v>46127</v>
      </c>
      <c r="F6" s="7">
        <v>46176</v>
      </c>
      <c r="G6">
        <v>72</v>
      </c>
      <c r="H6" t="s">
        <v>588</v>
      </c>
      <c r="I6" t="s">
        <v>75</v>
      </c>
      <c r="J6" t="s">
        <v>76</v>
      </c>
      <c r="K6" t="s">
        <v>178</v>
      </c>
      <c r="L6" t="s">
        <v>589</v>
      </c>
    </row>
    <row r="7" spans="1:12">
      <c r="A7">
        <v>2026</v>
      </c>
      <c r="B7" t="s">
        <v>590</v>
      </c>
      <c r="C7" t="s">
        <v>67</v>
      </c>
      <c r="D7">
        <v>7903572004</v>
      </c>
      <c r="E7" s="7">
        <v>46173</v>
      </c>
      <c r="F7" s="7">
        <v>46176</v>
      </c>
      <c r="G7">
        <v>4</v>
      </c>
      <c r="H7" t="s">
        <v>57</v>
      </c>
      <c r="I7" t="s">
        <v>57</v>
      </c>
      <c r="J7" t="s">
        <v>51</v>
      </c>
      <c r="K7" t="s">
        <v>58</v>
      </c>
      <c r="L7" t="s">
        <v>591</v>
      </c>
    </row>
    <row r="8" spans="1:12">
      <c r="A8">
        <v>2025</v>
      </c>
      <c r="B8" t="s">
        <v>592</v>
      </c>
      <c r="C8" t="s">
        <v>56</v>
      </c>
      <c r="D8">
        <v>7943790134</v>
      </c>
      <c r="E8" s="7">
        <v>45902</v>
      </c>
      <c r="F8" s="7">
        <v>46179</v>
      </c>
      <c r="G8">
        <v>134</v>
      </c>
      <c r="H8" t="s">
        <v>131</v>
      </c>
      <c r="I8" t="s">
        <v>132</v>
      </c>
      <c r="J8" t="s">
        <v>51</v>
      </c>
      <c r="K8" t="s">
        <v>133</v>
      </c>
      <c r="L8" t="s">
        <v>593</v>
      </c>
    </row>
    <row r="9" spans="1:12">
      <c r="A9">
        <v>2026</v>
      </c>
      <c r="B9" t="s">
        <v>594</v>
      </c>
      <c r="C9" t="s">
        <v>67</v>
      </c>
      <c r="D9">
        <v>5843904032</v>
      </c>
      <c r="E9" s="7">
        <v>46160</v>
      </c>
      <c r="F9" s="7">
        <v>46183</v>
      </c>
      <c r="G9">
        <v>32</v>
      </c>
      <c r="H9" t="s">
        <v>448</v>
      </c>
      <c r="I9" t="s">
        <v>192</v>
      </c>
      <c r="J9" t="s">
        <v>76</v>
      </c>
      <c r="K9" t="s">
        <v>595</v>
      </c>
      <c r="L9" t="s">
        <v>596</v>
      </c>
    </row>
    <row r="10" spans="1:12">
      <c r="A10">
        <v>2026</v>
      </c>
      <c r="B10" t="s">
        <v>597</v>
      </c>
      <c r="C10" t="s">
        <v>67</v>
      </c>
      <c r="D10">
        <v>5837543086</v>
      </c>
      <c r="E10" s="7">
        <v>46146</v>
      </c>
      <c r="F10" s="7">
        <v>46183</v>
      </c>
      <c r="G10">
        <v>86</v>
      </c>
      <c r="H10" t="s">
        <v>209</v>
      </c>
      <c r="I10" t="s">
        <v>210</v>
      </c>
      <c r="J10" t="s">
        <v>42</v>
      </c>
      <c r="K10" t="s">
        <v>211</v>
      </c>
      <c r="L10" t="s">
        <v>598</v>
      </c>
    </row>
    <row r="11" spans="1:12">
      <c r="A11">
        <v>2026</v>
      </c>
      <c r="B11" t="s">
        <v>599</v>
      </c>
      <c r="C11" t="s">
        <v>67</v>
      </c>
      <c r="D11">
        <v>7957920111</v>
      </c>
      <c r="E11" s="7">
        <v>46152</v>
      </c>
      <c r="F11" s="7">
        <v>46184</v>
      </c>
      <c r="G11">
        <v>111</v>
      </c>
      <c r="H11" t="s">
        <v>600</v>
      </c>
      <c r="I11" t="s">
        <v>50</v>
      </c>
      <c r="J11" t="s">
        <v>51</v>
      </c>
      <c r="K11" t="s">
        <v>601</v>
      </c>
      <c r="L11" t="s">
        <v>602</v>
      </c>
    </row>
    <row r="12" spans="1:12">
      <c r="A12">
        <v>2026</v>
      </c>
      <c r="B12" t="s">
        <v>603</v>
      </c>
      <c r="C12" t="s">
        <v>67</v>
      </c>
      <c r="D12">
        <v>7957620015</v>
      </c>
      <c r="E12" s="7">
        <v>46174</v>
      </c>
      <c r="F12" s="7">
        <v>46185</v>
      </c>
      <c r="G12">
        <v>15</v>
      </c>
      <c r="H12" t="s">
        <v>283</v>
      </c>
      <c r="I12" t="s">
        <v>50</v>
      </c>
      <c r="J12" t="s">
        <v>51</v>
      </c>
      <c r="K12" t="s">
        <v>604</v>
      </c>
      <c r="L12" t="s">
        <v>605</v>
      </c>
    </row>
    <row r="13" spans="1:12">
      <c r="A13">
        <v>2026</v>
      </c>
      <c r="B13" t="s">
        <v>606</v>
      </c>
      <c r="C13" t="s">
        <v>67</v>
      </c>
      <c r="D13">
        <v>7964802072</v>
      </c>
      <c r="E13" s="7">
        <v>46123</v>
      </c>
      <c r="F13" s="7">
        <v>46185</v>
      </c>
      <c r="G13">
        <v>72</v>
      </c>
      <c r="H13" t="s">
        <v>588</v>
      </c>
      <c r="I13" t="s">
        <v>75</v>
      </c>
      <c r="J13" t="s">
        <v>76</v>
      </c>
      <c r="K13" t="s">
        <v>178</v>
      </c>
      <c r="L13" t="s">
        <v>607</v>
      </c>
    </row>
    <row r="14" spans="1:12">
      <c r="A14">
        <v>2026</v>
      </c>
      <c r="B14" t="s">
        <v>608</v>
      </c>
      <c r="C14" t="s">
        <v>73</v>
      </c>
      <c r="D14">
        <v>7955635116</v>
      </c>
      <c r="E14" s="7">
        <v>46174</v>
      </c>
      <c r="F14" s="7">
        <v>46188</v>
      </c>
      <c r="G14">
        <v>116</v>
      </c>
      <c r="H14" t="s">
        <v>200</v>
      </c>
      <c r="I14" t="s">
        <v>75</v>
      </c>
      <c r="J14" t="s">
        <v>76</v>
      </c>
      <c r="K14" t="s">
        <v>77</v>
      </c>
      <c r="L14" t="s">
        <v>609</v>
      </c>
    </row>
    <row r="15" spans="1:12">
      <c r="A15">
        <v>2026</v>
      </c>
      <c r="B15" t="s">
        <v>610</v>
      </c>
      <c r="C15" t="s">
        <v>67</v>
      </c>
      <c r="D15">
        <v>7907536092</v>
      </c>
      <c r="E15" s="7">
        <v>46128</v>
      </c>
      <c r="F15" s="7">
        <v>46189</v>
      </c>
      <c r="G15">
        <v>92</v>
      </c>
      <c r="H15" t="s">
        <v>611</v>
      </c>
      <c r="I15" t="s">
        <v>62</v>
      </c>
      <c r="J15" t="s">
        <v>42</v>
      </c>
      <c r="K15" t="s">
        <v>612</v>
      </c>
      <c r="L15" t="s">
        <v>613</v>
      </c>
    </row>
    <row r="16" spans="1:12">
      <c r="A16">
        <v>2026</v>
      </c>
      <c r="B16" t="s">
        <v>614</v>
      </c>
      <c r="C16" t="s">
        <v>67</v>
      </c>
      <c r="D16">
        <v>7910027196</v>
      </c>
      <c r="E16" s="7">
        <v>46202</v>
      </c>
      <c r="F16" s="7">
        <v>46190</v>
      </c>
      <c r="G16">
        <v>196</v>
      </c>
      <c r="H16" t="s">
        <v>546</v>
      </c>
      <c r="I16" t="s">
        <v>62</v>
      </c>
      <c r="J16" t="s">
        <v>42</v>
      </c>
      <c r="K16" t="s">
        <v>295</v>
      </c>
      <c r="L16" t="s">
        <v>615</v>
      </c>
    </row>
    <row r="17" spans="1:12">
      <c r="A17">
        <v>2026</v>
      </c>
      <c r="B17" t="s">
        <v>616</v>
      </c>
      <c r="C17" t="s">
        <v>67</v>
      </c>
      <c r="D17">
        <v>7931604122</v>
      </c>
      <c r="E17" s="7">
        <v>46183</v>
      </c>
      <c r="F17" s="7">
        <v>46191</v>
      </c>
      <c r="G17">
        <v>122</v>
      </c>
      <c r="H17" t="s">
        <v>68</v>
      </c>
      <c r="I17" t="s">
        <v>68</v>
      </c>
      <c r="J17" t="s">
        <v>42</v>
      </c>
      <c r="K17" t="s">
        <v>617</v>
      </c>
      <c r="L17" t="s">
        <v>618</v>
      </c>
    </row>
    <row r="18" spans="1:12">
      <c r="A18">
        <v>2026</v>
      </c>
      <c r="B18" t="s">
        <v>619</v>
      </c>
      <c r="C18" t="s">
        <v>67</v>
      </c>
      <c r="D18">
        <v>7929763027</v>
      </c>
      <c r="E18" s="7">
        <v>46152</v>
      </c>
      <c r="F18" s="7">
        <v>46196</v>
      </c>
      <c r="G18">
        <v>27</v>
      </c>
      <c r="H18" t="s">
        <v>620</v>
      </c>
      <c r="I18" t="s">
        <v>75</v>
      </c>
      <c r="J18" t="s">
        <v>76</v>
      </c>
      <c r="K18" t="s">
        <v>621</v>
      </c>
      <c r="L18" t="s">
        <v>622</v>
      </c>
    </row>
    <row r="19" spans="1:12">
      <c r="A19">
        <v>2026</v>
      </c>
      <c r="B19" t="s">
        <v>623</v>
      </c>
      <c r="C19" t="s">
        <v>67</v>
      </c>
      <c r="D19">
        <v>7908203091</v>
      </c>
      <c r="E19" s="7">
        <v>46182</v>
      </c>
      <c r="F19" s="7">
        <v>46196</v>
      </c>
      <c r="G19">
        <v>91</v>
      </c>
      <c r="H19" t="s">
        <v>74</v>
      </c>
      <c r="I19" t="s">
        <v>75</v>
      </c>
      <c r="J19" t="s">
        <v>76</v>
      </c>
      <c r="K19" t="s">
        <v>624</v>
      </c>
      <c r="L19" t="s">
        <v>625</v>
      </c>
    </row>
    <row r="20" spans="1:12">
      <c r="A20">
        <v>2026</v>
      </c>
      <c r="B20" t="s">
        <v>626</v>
      </c>
      <c r="C20" t="s">
        <v>67</v>
      </c>
      <c r="D20">
        <v>7900018004</v>
      </c>
      <c r="E20" s="7">
        <v>46169</v>
      </c>
      <c r="F20" s="7">
        <v>46196</v>
      </c>
      <c r="G20">
        <v>4</v>
      </c>
      <c r="H20" t="s">
        <v>57</v>
      </c>
      <c r="I20" t="s">
        <v>57</v>
      </c>
      <c r="J20" t="s">
        <v>51</v>
      </c>
      <c r="K20" t="s">
        <v>627</v>
      </c>
      <c r="L20" t="s">
        <v>628</v>
      </c>
    </row>
    <row r="21" spans="1:12">
      <c r="A21">
        <v>2026</v>
      </c>
      <c r="B21" t="s">
        <v>629</v>
      </c>
      <c r="C21" t="s">
        <v>67</v>
      </c>
      <c r="D21">
        <v>7929658038</v>
      </c>
      <c r="E21" s="7">
        <v>46173</v>
      </c>
      <c r="F21" s="7">
        <v>46197</v>
      </c>
      <c r="G21">
        <v>38</v>
      </c>
      <c r="H21" t="s">
        <v>564</v>
      </c>
      <c r="I21" t="s">
        <v>75</v>
      </c>
      <c r="J21" t="s">
        <v>76</v>
      </c>
      <c r="K21" t="s">
        <v>630</v>
      </c>
      <c r="L21" t="s">
        <v>631</v>
      </c>
    </row>
    <row r="22" spans="1:12">
      <c r="A22">
        <v>2026</v>
      </c>
      <c r="B22" t="s">
        <v>632</v>
      </c>
      <c r="C22" t="s">
        <v>67</v>
      </c>
      <c r="D22">
        <v>7925107033</v>
      </c>
      <c r="E22" s="7">
        <v>46152</v>
      </c>
      <c r="F22" s="7">
        <v>46197</v>
      </c>
      <c r="G22">
        <v>33</v>
      </c>
      <c r="H22" t="s">
        <v>633</v>
      </c>
      <c r="I22" t="s">
        <v>50</v>
      </c>
      <c r="J22" t="s">
        <v>51</v>
      </c>
      <c r="K22" t="s">
        <v>634</v>
      </c>
      <c r="L22" t="s">
        <v>635</v>
      </c>
    </row>
    <row r="23" spans="1:12">
      <c r="A23">
        <v>2026</v>
      </c>
      <c r="B23" t="s">
        <v>636</v>
      </c>
      <c r="C23" t="s">
        <v>67</v>
      </c>
      <c r="D23">
        <v>7926785070</v>
      </c>
      <c r="E23" s="7">
        <v>46171</v>
      </c>
      <c r="F23" s="7">
        <v>46198</v>
      </c>
      <c r="G23">
        <v>70</v>
      </c>
      <c r="H23" t="s">
        <v>81</v>
      </c>
      <c r="I23" t="s">
        <v>62</v>
      </c>
      <c r="J23" t="s">
        <v>42</v>
      </c>
      <c r="K23" t="s">
        <v>82</v>
      </c>
      <c r="L23" t="s">
        <v>637</v>
      </c>
    </row>
    <row r="24" spans="1:12">
      <c r="A24">
        <v>2026</v>
      </c>
      <c r="B24" t="s">
        <v>638</v>
      </c>
      <c r="C24" t="s">
        <v>67</v>
      </c>
      <c r="D24">
        <v>7900510045</v>
      </c>
      <c r="E24" s="7">
        <v>46186</v>
      </c>
      <c r="F24" s="7">
        <v>46199</v>
      </c>
      <c r="G24">
        <v>45</v>
      </c>
      <c r="H24" t="s">
        <v>132</v>
      </c>
      <c r="I24" t="s">
        <v>132</v>
      </c>
      <c r="J24" t="s">
        <v>51</v>
      </c>
      <c r="K24" t="s">
        <v>639</v>
      </c>
      <c r="L24" t="s">
        <v>640</v>
      </c>
    </row>
    <row r="25" spans="1:12">
      <c r="A25">
        <v>2026</v>
      </c>
      <c r="B25" t="s">
        <v>641</v>
      </c>
      <c r="C25" t="s">
        <v>67</v>
      </c>
      <c r="D25">
        <v>5800440256</v>
      </c>
      <c r="E25" s="7">
        <v>46192</v>
      </c>
      <c r="F25" s="7">
        <v>46199</v>
      </c>
      <c r="G25">
        <v>256</v>
      </c>
      <c r="H25" t="s">
        <v>107</v>
      </c>
      <c r="I25" t="s">
        <v>108</v>
      </c>
      <c r="J25" t="s">
        <v>42</v>
      </c>
      <c r="K25" t="s">
        <v>109</v>
      </c>
      <c r="L25" t="s">
        <v>642</v>
      </c>
    </row>
    <row r="26" spans="1:12">
      <c r="A26">
        <v>2026</v>
      </c>
      <c r="B26" t="s">
        <v>643</v>
      </c>
      <c r="C26" t="s">
        <v>67</v>
      </c>
      <c r="D26">
        <v>7962635060</v>
      </c>
      <c r="E26" s="7">
        <v>46190</v>
      </c>
      <c r="F26" s="7">
        <v>46202</v>
      </c>
      <c r="G26">
        <v>60</v>
      </c>
      <c r="H26" t="s">
        <v>533</v>
      </c>
      <c r="I26" t="s">
        <v>154</v>
      </c>
      <c r="J26" t="s">
        <v>51</v>
      </c>
      <c r="K26" t="s">
        <v>644</v>
      </c>
      <c r="L26" t="s">
        <v>645</v>
      </c>
    </row>
    <row r="27" spans="1:12">
      <c r="A27">
        <v>2026</v>
      </c>
      <c r="B27" t="s">
        <v>646</v>
      </c>
      <c r="C27" t="s">
        <v>67</v>
      </c>
      <c r="D27">
        <v>7903569004</v>
      </c>
      <c r="E27" s="7">
        <v>46202</v>
      </c>
      <c r="F27" s="7">
        <v>46210</v>
      </c>
      <c r="G27">
        <v>4</v>
      </c>
      <c r="H27" t="s">
        <v>57</v>
      </c>
      <c r="I27" t="s">
        <v>57</v>
      </c>
      <c r="J27" t="s">
        <v>51</v>
      </c>
      <c r="K27" t="s">
        <v>647</v>
      </c>
      <c r="L27" t="s">
        <v>648</v>
      </c>
    </row>
    <row r="28" spans="1:12">
      <c r="A28">
        <v>2026</v>
      </c>
      <c r="B28" t="s">
        <v>649</v>
      </c>
      <c r="C28" t="s">
        <v>67</v>
      </c>
      <c r="D28">
        <v>7954668084</v>
      </c>
      <c r="E28" s="7">
        <v>46192</v>
      </c>
      <c r="F28" s="7">
        <v>46210</v>
      </c>
      <c r="G28">
        <v>84</v>
      </c>
      <c r="H28" t="s">
        <v>210</v>
      </c>
      <c r="I28" t="s">
        <v>210</v>
      </c>
      <c r="J28" t="s">
        <v>42</v>
      </c>
      <c r="K28" t="s">
        <v>275</v>
      </c>
      <c r="L28" t="s">
        <v>650</v>
      </c>
    </row>
    <row r="29" spans="1:12">
      <c r="A29">
        <v>2026</v>
      </c>
      <c r="B29" t="s">
        <v>651</v>
      </c>
      <c r="C29" t="s">
        <v>67</v>
      </c>
      <c r="D29">
        <v>7927713200</v>
      </c>
      <c r="E29" s="7">
        <v>46202</v>
      </c>
      <c r="F29" s="7">
        <v>46211</v>
      </c>
      <c r="G29">
        <v>200</v>
      </c>
      <c r="H29" t="s">
        <v>327</v>
      </c>
      <c r="I29" t="s">
        <v>177</v>
      </c>
      <c r="J29" t="s">
        <v>76</v>
      </c>
      <c r="K29" t="s">
        <v>652</v>
      </c>
      <c r="L29" t="s">
        <v>653</v>
      </c>
    </row>
    <row r="30" spans="1:12">
      <c r="A30">
        <v>2026</v>
      </c>
      <c r="B30" t="s">
        <v>654</v>
      </c>
      <c r="C30" t="s">
        <v>67</v>
      </c>
      <c r="D30">
        <v>7936038076</v>
      </c>
      <c r="E30" s="7">
        <v>46202</v>
      </c>
      <c r="F30" s="7">
        <v>46211</v>
      </c>
      <c r="G30">
        <v>76</v>
      </c>
      <c r="H30" t="s">
        <v>335</v>
      </c>
      <c r="I30" t="s">
        <v>336</v>
      </c>
      <c r="J30" t="s">
        <v>76</v>
      </c>
      <c r="K30" t="s">
        <v>406</v>
      </c>
      <c r="L30" t="s">
        <v>655</v>
      </c>
    </row>
    <row r="31" spans="1:12">
      <c r="A31">
        <v>2026</v>
      </c>
      <c r="B31" t="s">
        <v>656</v>
      </c>
      <c r="C31" t="s">
        <v>67</v>
      </c>
      <c r="D31">
        <v>7908708116</v>
      </c>
      <c r="E31" s="7">
        <v>46202</v>
      </c>
      <c r="F31" s="7">
        <v>46211</v>
      </c>
      <c r="G31">
        <v>116</v>
      </c>
      <c r="H31" t="s">
        <v>200</v>
      </c>
      <c r="I31" t="s">
        <v>75</v>
      </c>
      <c r="J31" t="s">
        <v>76</v>
      </c>
      <c r="K31" t="s">
        <v>77</v>
      </c>
      <c r="L31" t="s">
        <v>657</v>
      </c>
    </row>
    <row r="32" spans="1:12">
      <c r="A32">
        <v>2026</v>
      </c>
      <c r="B32" t="s">
        <v>658</v>
      </c>
      <c r="C32" t="s">
        <v>67</v>
      </c>
      <c r="D32">
        <v>7955520116</v>
      </c>
      <c r="E32" s="7">
        <v>46202</v>
      </c>
      <c r="F32" s="7">
        <v>46211</v>
      </c>
      <c r="G32">
        <v>116</v>
      </c>
      <c r="H32" t="s">
        <v>200</v>
      </c>
      <c r="I32" t="s">
        <v>75</v>
      </c>
      <c r="J32" t="s">
        <v>76</v>
      </c>
      <c r="K32" t="s">
        <v>77</v>
      </c>
      <c r="L32" t="s">
        <v>659</v>
      </c>
    </row>
    <row r="33" spans="1:12">
      <c r="A33">
        <v>2026</v>
      </c>
      <c r="B33" t="s">
        <v>660</v>
      </c>
      <c r="C33" t="s">
        <v>67</v>
      </c>
      <c r="D33">
        <v>7957021094</v>
      </c>
      <c r="E33" s="7">
        <v>46162</v>
      </c>
      <c r="F33" s="7">
        <v>46213</v>
      </c>
      <c r="G33">
        <v>94</v>
      </c>
      <c r="H33" t="s">
        <v>177</v>
      </c>
      <c r="I33" t="s">
        <v>177</v>
      </c>
      <c r="J33" t="s">
        <v>76</v>
      </c>
      <c r="K33" t="s">
        <v>263</v>
      </c>
      <c r="L33" t="s">
        <v>661</v>
      </c>
    </row>
    <row r="34" spans="1:12">
      <c r="A34">
        <v>2026</v>
      </c>
      <c r="B34" t="s">
        <v>662</v>
      </c>
      <c r="C34" t="s">
        <v>96</v>
      </c>
      <c r="D34">
        <v>5820790038</v>
      </c>
      <c r="E34" s="7">
        <v>46200</v>
      </c>
      <c r="F34" s="7">
        <v>46216</v>
      </c>
      <c r="G34">
        <v>38</v>
      </c>
      <c r="H34" t="s">
        <v>564</v>
      </c>
      <c r="I34" t="s">
        <v>75</v>
      </c>
      <c r="J34" t="s">
        <v>76</v>
      </c>
      <c r="K34" t="s">
        <v>663</v>
      </c>
      <c r="L34" t="s">
        <v>664</v>
      </c>
    </row>
    <row r="35" spans="1:12">
      <c r="A35">
        <v>2026</v>
      </c>
      <c r="B35" t="s">
        <v>665</v>
      </c>
      <c r="C35" t="s">
        <v>67</v>
      </c>
      <c r="D35">
        <v>7948412064</v>
      </c>
      <c r="E35" s="7">
        <v>46203</v>
      </c>
      <c r="F35" s="7">
        <v>46216</v>
      </c>
      <c r="G35">
        <v>64</v>
      </c>
      <c r="H35" t="s">
        <v>563</v>
      </c>
      <c r="I35" t="s">
        <v>50</v>
      </c>
      <c r="J35" t="s">
        <v>51</v>
      </c>
      <c r="K35" t="s">
        <v>666</v>
      </c>
      <c r="L35" t="s">
        <v>667</v>
      </c>
    </row>
    <row r="36" spans="1:12">
      <c r="A36">
        <v>2026</v>
      </c>
      <c r="B36" t="s">
        <v>668</v>
      </c>
      <c r="C36" t="s">
        <v>96</v>
      </c>
      <c r="D36">
        <v>5800657026</v>
      </c>
      <c r="E36" s="7">
        <v>46216</v>
      </c>
      <c r="F36" s="7">
        <v>46216</v>
      </c>
      <c r="G36">
        <v>26</v>
      </c>
      <c r="H36" t="s">
        <v>108</v>
      </c>
      <c r="I36" t="s">
        <v>108</v>
      </c>
      <c r="J36" t="s">
        <v>42</v>
      </c>
      <c r="K36" t="s">
        <v>109</v>
      </c>
      <c r="L36" t="s">
        <v>669</v>
      </c>
    </row>
    <row r="37" spans="1:12">
      <c r="A37">
        <v>2026</v>
      </c>
      <c r="B37" t="s">
        <v>670</v>
      </c>
      <c r="C37" t="s">
        <v>125</v>
      </c>
      <c r="D37">
        <v>5801866013</v>
      </c>
      <c r="E37" s="7">
        <v>46213</v>
      </c>
      <c r="F37" s="7">
        <v>46217</v>
      </c>
      <c r="G37">
        <v>13</v>
      </c>
      <c r="H37" t="s">
        <v>97</v>
      </c>
      <c r="I37" t="s">
        <v>97</v>
      </c>
      <c r="J37" t="s">
        <v>42</v>
      </c>
      <c r="K37" t="s">
        <v>182</v>
      </c>
      <c r="L37" t="s">
        <v>671</v>
      </c>
    </row>
    <row r="38" spans="1:12">
      <c r="A38">
        <v>2026</v>
      </c>
      <c r="B38" t="s">
        <v>672</v>
      </c>
      <c r="C38" t="s">
        <v>67</v>
      </c>
      <c r="D38">
        <v>7925713040</v>
      </c>
      <c r="E38" s="7">
        <v>46183</v>
      </c>
      <c r="F38" s="7">
        <v>46220</v>
      </c>
      <c r="G38">
        <v>40</v>
      </c>
      <c r="H38" t="s">
        <v>492</v>
      </c>
      <c r="I38" t="s">
        <v>57</v>
      </c>
      <c r="J38" t="s">
        <v>51</v>
      </c>
      <c r="K38" t="s">
        <v>249</v>
      </c>
      <c r="L38" t="s">
        <v>673</v>
      </c>
    </row>
    <row r="39" spans="1:12">
      <c r="A39">
        <v>2026</v>
      </c>
      <c r="B39" t="s">
        <v>674</v>
      </c>
      <c r="C39" t="s">
        <v>67</v>
      </c>
      <c r="D39">
        <v>7934697002</v>
      </c>
      <c r="E39" s="7">
        <v>46199</v>
      </c>
      <c r="F39" s="7">
        <v>46223</v>
      </c>
      <c r="G39">
        <v>2</v>
      </c>
      <c r="H39" t="s">
        <v>223</v>
      </c>
      <c r="I39" t="s">
        <v>223</v>
      </c>
      <c r="J39" t="s">
        <v>51</v>
      </c>
      <c r="K39" t="s">
        <v>675</v>
      </c>
      <c r="L39" t="s">
        <v>676</v>
      </c>
    </row>
    <row r="40" spans="1:12">
      <c r="A40">
        <v>2026</v>
      </c>
      <c r="B40" t="s">
        <v>677</v>
      </c>
      <c r="C40" t="s">
        <v>678</v>
      </c>
      <c r="D40">
        <v>5844630060</v>
      </c>
      <c r="E40" s="7">
        <v>46223</v>
      </c>
      <c r="F40" s="7">
        <v>46227</v>
      </c>
      <c r="G40">
        <v>60</v>
      </c>
      <c r="H40" t="s">
        <v>533</v>
      </c>
      <c r="I40" t="s">
        <v>154</v>
      </c>
      <c r="J40" t="s">
        <v>51</v>
      </c>
      <c r="K40" t="s">
        <v>644</v>
      </c>
      <c r="L40" t="s">
        <v>679</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A502A-F614-41D5-8A16-195B4F709E1A}">
  <dimension ref="A1:AB135"/>
  <sheetViews>
    <sheetView tabSelected="1" zoomScale="115" zoomScaleNormal="115" workbookViewId="0">
      <selection activeCell="D9" sqref="D9"/>
    </sheetView>
  </sheetViews>
  <sheetFormatPr defaultRowHeight="15" customHeight="1"/>
  <cols>
    <col min="1" max="1" width="16.85546875" style="4" customWidth="1"/>
    <col min="2" max="2" width="46.140625" style="4" customWidth="1"/>
    <col min="3" max="3" width="8.7109375" style="5" customWidth="1"/>
    <col min="4" max="4" width="34" style="5" bestFit="1" customWidth="1"/>
    <col min="5" max="5" width="28.140625" style="5" bestFit="1" customWidth="1"/>
    <col min="6" max="6" width="18.28515625" style="5" bestFit="1" customWidth="1"/>
    <col min="7" max="7" width="33.85546875" style="4" bestFit="1" customWidth="1"/>
    <col min="8" max="8" width="55.5703125" style="4" hidden="1" customWidth="1"/>
    <col min="9" max="10" width="64" style="4" hidden="1" customWidth="1"/>
    <col min="11" max="11" width="29.140625" style="4" hidden="1" customWidth="1"/>
    <col min="12" max="12" width="34" customWidth="1"/>
    <col min="13" max="13" width="18.28515625" style="30" customWidth="1"/>
    <col min="14" max="14" width="255.7109375" bestFit="1" customWidth="1"/>
    <col min="15" max="24" width="12.7109375" customWidth="1"/>
    <col min="25" max="25" width="144.5703125" bestFit="1" customWidth="1"/>
    <col min="26" max="29" width="17.28515625" customWidth="1"/>
  </cols>
  <sheetData>
    <row r="1" spans="1:28" ht="15" customHeight="1">
      <c r="A1" s="4" t="s">
        <v>426</v>
      </c>
      <c r="B1" s="4" t="s">
        <v>680</v>
      </c>
      <c r="C1" s="5" t="s">
        <v>427</v>
      </c>
      <c r="D1" s="5" t="s">
        <v>428</v>
      </c>
      <c r="E1" s="5" t="s">
        <v>429</v>
      </c>
      <c r="F1" s="5" t="s">
        <v>430</v>
      </c>
      <c r="G1" s="4" t="s">
        <v>431</v>
      </c>
      <c r="H1" s="4" t="s">
        <v>432</v>
      </c>
      <c r="I1" s="4" t="s">
        <v>433</v>
      </c>
      <c r="J1" s="4" t="s">
        <v>681</v>
      </c>
      <c r="K1" s="4" t="s">
        <v>434</v>
      </c>
      <c r="L1" t="s">
        <v>435</v>
      </c>
      <c r="M1" s="10" t="s">
        <v>3</v>
      </c>
      <c r="N1" t="s">
        <v>436</v>
      </c>
      <c r="O1" t="s">
        <v>28</v>
      </c>
      <c r="P1" t="s">
        <v>29</v>
      </c>
      <c r="Q1" t="s">
        <v>30</v>
      </c>
      <c r="R1" t="s">
        <v>31</v>
      </c>
      <c r="S1" t="s">
        <v>32</v>
      </c>
      <c r="T1" t="s">
        <v>33</v>
      </c>
      <c r="U1" t="s">
        <v>34</v>
      </c>
      <c r="V1" t="s">
        <v>35</v>
      </c>
      <c r="W1" t="s">
        <v>36</v>
      </c>
      <c r="X1" t="s">
        <v>2</v>
      </c>
      <c r="Y1" t="s">
        <v>37</v>
      </c>
      <c r="AA1" s="51" t="s">
        <v>682</v>
      </c>
      <c r="AB1" s="52"/>
    </row>
    <row r="2" spans="1:28" ht="15" hidden="1" customHeight="1">
      <c r="A2" s="4">
        <v>5800090147</v>
      </c>
      <c r="B2" s="4" t="e">
        <f>_xlfn.XLOOKUP(Table2[[#This Row],[Ativo]],Joao!B:B,Joao!Z:Z)</f>
        <v>#N/A</v>
      </c>
      <c r="C2" s="5" t="str">
        <f>MID(Table2[[#This Row],[Ativo]],1,2)</f>
        <v>58</v>
      </c>
      <c r="D2" s="5" t="s">
        <v>506</v>
      </c>
      <c r="E2" s="5" t="s">
        <v>75</v>
      </c>
      <c r="F2" s="5" t="s">
        <v>76</v>
      </c>
      <c r="G2" s="4" t="str">
        <f>IFERROR(_xlfn.XLOOKUP(Table2[[#This Row],[Ativo]],Pendentes[COD_RELIGADOR],Pendentes[SS_ORIGINAL]),"CONCLUÍDA")</f>
        <v>CONCLUÍDA</v>
      </c>
      <c r="H2" s="4" t="s">
        <v>683</v>
      </c>
      <c r="K2" s="4" t="s">
        <v>438</v>
      </c>
      <c r="L2" s="29"/>
      <c r="M2" s="31"/>
      <c r="N2" t="str">
        <f>IFERROR(_xlfn.XLOOKUP(Table2[[#This Row],[Ativo]],Pendentes[COD_RELIGADOR],Pendentes[DESCRICAO]),"")</f>
        <v/>
      </c>
      <c r="O2" s="5">
        <v>0</v>
      </c>
      <c r="P2" s="5">
        <v>20</v>
      </c>
      <c r="Q2" s="5">
        <v>20</v>
      </c>
      <c r="R2" s="5">
        <v>10</v>
      </c>
      <c r="S2" s="5">
        <v>10</v>
      </c>
      <c r="T2" s="5" t="s">
        <v>45</v>
      </c>
      <c r="U2" s="5" t="s">
        <v>45</v>
      </c>
      <c r="V2" s="5" t="s">
        <v>45</v>
      </c>
      <c r="W2" s="5">
        <f>SUM(Table2[[#This Row],[Premissa 1]:[Premissa 8]])</f>
        <v>60</v>
      </c>
      <c r="X2" s="5" t="s">
        <v>14</v>
      </c>
      <c r="Y2" t="s">
        <v>507</v>
      </c>
      <c r="AA2" s="8" t="s">
        <v>684</v>
      </c>
      <c r="AB2" s="8" t="s">
        <v>685</v>
      </c>
    </row>
    <row r="3" spans="1:28" ht="15" hidden="1" customHeight="1">
      <c r="A3" s="4">
        <v>5800291035</v>
      </c>
      <c r="B3" s="4" t="e">
        <f>_xlfn.XLOOKUP(Table2[[#This Row],[Ativo]],Joao!B:B,Joao!Z:Z)</f>
        <v>#N/A</v>
      </c>
      <c r="C3" s="5" t="str">
        <f>MID(Table2[[#This Row],[Ativo]],1,2)</f>
        <v>58</v>
      </c>
      <c r="D3" s="5" t="s">
        <v>234</v>
      </c>
      <c r="E3" s="5" t="s">
        <v>108</v>
      </c>
      <c r="F3" s="5" t="s">
        <v>42</v>
      </c>
      <c r="G3" s="4" t="str">
        <f>IFERROR(_xlfn.XLOOKUP(Table2[[#This Row],[Ativo]],Pendentes[COD_RELIGADOR],Pendentes[SS_ORIGINAL]),"CONCLUÍDA")</f>
        <v>ETO-RD-PO 00097/2026</v>
      </c>
      <c r="H3" s="11" t="s">
        <v>482</v>
      </c>
      <c r="I3" s="9" t="s">
        <v>686</v>
      </c>
      <c r="J3" s="9"/>
      <c r="K3" s="4" t="s">
        <v>443</v>
      </c>
      <c r="L3" s="29" t="s">
        <v>497</v>
      </c>
      <c r="M3" s="31">
        <v>1</v>
      </c>
      <c r="N3" t="s">
        <v>236</v>
      </c>
      <c r="O3" s="5">
        <v>0</v>
      </c>
      <c r="P3" s="5">
        <v>20</v>
      </c>
      <c r="Q3" s="5">
        <v>20</v>
      </c>
      <c r="R3" s="5">
        <v>10</v>
      </c>
      <c r="S3" s="5">
        <v>0</v>
      </c>
      <c r="T3" s="5" t="s">
        <v>45</v>
      </c>
      <c r="U3" s="5" t="s">
        <v>45</v>
      </c>
      <c r="V3" s="5" t="s">
        <v>45</v>
      </c>
      <c r="W3" s="5">
        <f>SUM(Table2[[#This Row],[Premissa 1]:[Premissa 8]])</f>
        <v>50</v>
      </c>
      <c r="X3" s="5" t="s">
        <v>14</v>
      </c>
      <c r="Y3" t="s">
        <v>237</v>
      </c>
    </row>
    <row r="4" spans="1:28" ht="15" hidden="1" customHeight="1">
      <c r="A4" s="4">
        <v>5800291077</v>
      </c>
      <c r="B4" s="4" t="e">
        <f>_xlfn.XLOOKUP(Table2[[#This Row],[Ativo]],Joao!B:B,Joao!Z:Z)</f>
        <v>#N/A</v>
      </c>
      <c r="C4" s="5" t="str">
        <f>MID(Table2[[#This Row],[Ativo]],1,2)</f>
        <v>58</v>
      </c>
      <c r="D4" s="5" t="s">
        <v>144</v>
      </c>
      <c r="E4" s="5" t="s">
        <v>57</v>
      </c>
      <c r="F4" s="5" t="s">
        <v>51</v>
      </c>
      <c r="G4" s="4" t="str">
        <f>IFERROR(_xlfn.XLOOKUP(Table2[[#This Row],[Ativo]],Pendentes[COD_RELIGADOR],Pendentes[SS_ORIGINAL]),"CONCLUÍDA")</f>
        <v>CONCLUÍDA</v>
      </c>
      <c r="K4" s="4" t="s">
        <v>438</v>
      </c>
      <c r="L4" s="29"/>
      <c r="M4" s="31"/>
      <c r="N4" t="str">
        <f>IFERROR(_xlfn.XLOOKUP(Table2[[#This Row],[Ativo]],Pendentes[COD_RELIGADOR],Pendentes[DESCRICAO]),"")</f>
        <v/>
      </c>
      <c r="O4" s="5">
        <v>40</v>
      </c>
      <c r="P4" s="5">
        <v>20</v>
      </c>
      <c r="Q4" s="5">
        <v>20</v>
      </c>
      <c r="R4" s="5">
        <v>20</v>
      </c>
      <c r="S4" s="5">
        <v>20</v>
      </c>
      <c r="T4" s="5" t="s">
        <v>45</v>
      </c>
      <c r="U4" s="5" t="s">
        <v>45</v>
      </c>
      <c r="V4" s="5" t="s">
        <v>45</v>
      </c>
      <c r="W4" s="5">
        <f>SUM(Table2[[#This Row],[Premissa 1]:[Premissa 8]])</f>
        <v>120</v>
      </c>
      <c r="X4" s="5" t="s">
        <v>9</v>
      </c>
      <c r="Y4" t="s">
        <v>440</v>
      </c>
    </row>
    <row r="5" spans="1:28" ht="15" hidden="1" customHeight="1">
      <c r="A5" s="4">
        <v>5800366016</v>
      </c>
      <c r="B5" s="4" t="e">
        <f>_xlfn.XLOOKUP(Table2[[#This Row],[Ativo]],Joao!B:B,Joao!Z:Z)</f>
        <v>#N/A</v>
      </c>
      <c r="C5" s="5" t="str">
        <f>MID(Table2[[#This Row],[Ativo]],1,2)</f>
        <v>58</v>
      </c>
      <c r="D5" s="5" t="s">
        <v>500</v>
      </c>
      <c r="E5" s="5" t="s">
        <v>223</v>
      </c>
      <c r="F5" s="5" t="s">
        <v>51</v>
      </c>
      <c r="G5" s="4" t="str">
        <f>IFERROR(_xlfn.XLOOKUP(Table2[[#This Row],[Ativo]],Pendentes[COD_RELIGADOR],Pendentes[SS_ORIGINAL]),"CONCLUÍDA")</f>
        <v>CONCLUÍDA</v>
      </c>
      <c r="H5" s="4" t="s">
        <v>683</v>
      </c>
      <c r="K5" s="4" t="s">
        <v>438</v>
      </c>
      <c r="L5" s="29"/>
      <c r="M5" s="31"/>
      <c r="N5" t="str">
        <f>IFERROR(_xlfn.XLOOKUP(Table2[[#This Row],[Ativo]],Pendentes[COD_RELIGADOR],Pendentes[DESCRICAO]),"")</f>
        <v/>
      </c>
      <c r="O5" s="5">
        <v>0</v>
      </c>
      <c r="P5" s="5">
        <v>20</v>
      </c>
      <c r="Q5" s="5">
        <v>20</v>
      </c>
      <c r="R5" s="5">
        <v>20</v>
      </c>
      <c r="S5" s="5">
        <v>10</v>
      </c>
      <c r="T5" s="5" t="s">
        <v>45</v>
      </c>
      <c r="U5" s="5" t="s">
        <v>45</v>
      </c>
      <c r="V5" s="5" t="s">
        <v>45</v>
      </c>
      <c r="W5" s="5">
        <f>SUM(Table2[[#This Row],[Premissa 1]:[Premissa 8]])</f>
        <v>70</v>
      </c>
      <c r="X5" s="5" t="s">
        <v>13</v>
      </c>
      <c r="Y5" t="s">
        <v>501</v>
      </c>
    </row>
    <row r="6" spans="1:28" ht="15" customHeight="1">
      <c r="A6" s="12">
        <v>5800371025</v>
      </c>
      <c r="B6" s="12">
        <f>_xlfn.XLOOKUP(Table2[[#This Row],[Ativo]],Joao!B:B,Joao!Z:Z)</f>
        <v>0</v>
      </c>
      <c r="C6" s="5" t="str">
        <f>MID(Table2[[#This Row],[Ativo]],1,2)</f>
        <v>58</v>
      </c>
      <c r="D6" s="5" t="s">
        <v>162</v>
      </c>
      <c r="E6" s="5" t="s">
        <v>154</v>
      </c>
      <c r="F6" s="5" t="s">
        <v>51</v>
      </c>
      <c r="G6" s="4" t="str">
        <f>IFERROR(_xlfn.XLOOKUP(Table2[[#This Row],[Ativo]],Pendentes[COD_RELIGADOR],Pendentes[SS_ORIGINAL]),"CONCLUÍDA")</f>
        <v>ETO-RD-GR 00766/2026</v>
      </c>
      <c r="H6" s="4" t="s">
        <v>482</v>
      </c>
      <c r="I6" s="5" t="s">
        <v>687</v>
      </c>
      <c r="J6" s="5"/>
      <c r="K6" s="4" t="s">
        <v>443</v>
      </c>
      <c r="L6" s="29" t="s">
        <v>460</v>
      </c>
      <c r="M6" s="31">
        <v>1</v>
      </c>
      <c r="N6" t="str">
        <f>IFERROR(_xlfn.XLOOKUP(Table2[[#This Row],[Ativo]],Pendentes[COD_RELIGADOR],Pendentes[DESCRICAO]),"")</f>
        <v>16/07/2026 PARECER COEP: ALINHADO COM O KELLITON REALIZAR SUBSTITUIÇÃO DO CONTROLE DE TUPIRAMA, ALINHADO COM O JEAN QUE OS CABOS COMPATIBILIZADORES VÃO CHEGAR 16/08 , ATÉ ESSA DATA MANTER ESSA SS E CONTROLE RUA, DEPOIS REPASSAR PARA O DMSLPARECER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v>
      </c>
      <c r="O6" s="5">
        <v>0</v>
      </c>
      <c r="P6" s="5">
        <v>20</v>
      </c>
      <c r="Q6" s="5">
        <v>20</v>
      </c>
      <c r="R6" s="5">
        <v>10</v>
      </c>
      <c r="S6" s="5">
        <v>20</v>
      </c>
      <c r="T6" s="5" t="s">
        <v>45</v>
      </c>
      <c r="U6" s="5" t="s">
        <v>45</v>
      </c>
      <c r="V6" s="5" t="s">
        <v>45</v>
      </c>
      <c r="W6" s="5">
        <f>SUM(Table2[[#This Row],[Premissa 1]:[Premissa 8]])</f>
        <v>70</v>
      </c>
      <c r="X6" s="5" t="s">
        <v>13</v>
      </c>
      <c r="Y6" t="s">
        <v>165</v>
      </c>
    </row>
    <row r="7" spans="1:28" ht="15" customHeight="1">
      <c r="A7" s="4">
        <v>5800438116</v>
      </c>
      <c r="B7" s="4" t="str">
        <f>_xlfn.XLOOKUP(Table2[[#This Row],[Ativo]],Joao!B:B,Joao!Z:Z)</f>
        <v>NÃO PRECISA REQUISITAR EQUIPAMENTO, VAMOS UTILIZAR EQ RETIRADO DE OBRA DE CONSTRUÇÃO.</v>
      </c>
      <c r="C7" s="5" t="str">
        <f>MID(Table2[[#This Row],[Ativo]],1,2)</f>
        <v>58</v>
      </c>
      <c r="D7" s="5" t="s">
        <v>200</v>
      </c>
      <c r="E7" s="5" t="s">
        <v>75</v>
      </c>
      <c r="F7" s="5" t="s">
        <v>76</v>
      </c>
      <c r="G7" s="4" t="str">
        <f>IFERROR(_xlfn.XLOOKUP(Table2[[#This Row],[Ativo]],Pendentes[COD_RELIGADOR],Pendentes[SS_ORIGINAL]),"CONCLUÍDA")</f>
        <v>ETO-RD-DP 00404/2026</v>
      </c>
      <c r="H7" s="4" t="s">
        <v>688</v>
      </c>
      <c r="I7" s="4" t="s">
        <v>689</v>
      </c>
      <c r="K7" s="4" t="s">
        <v>443</v>
      </c>
      <c r="L7" s="29" t="s">
        <v>444</v>
      </c>
      <c r="M7" s="31">
        <v>2</v>
      </c>
      <c r="N7" t="str">
        <f>IFERROR(_xlfn.XLOOKUP(Table2[[#This Row],[Ativo]],Pendentes[COD_RELIGADOR],Pendentes[DESCRICAO]),"")</f>
        <v>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AJUSTES30/06PARECER COEP: AGUARDANDO COCM'S CRIAREM OBRA PARA ENTREGA DO MATERIALSegue nota para normalizar falha em regulador N:5800438116 - Chapada da natividade .equipamento está com fase B e C travada .OBS: a fase B esta sinalizando falha , equipamento não insere TAP negativo na fase B e C , o mesmo ficou no TAP zerado e bloqueado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C.Foi constatado que a placa F do controle está com defeito.</v>
      </c>
      <c r="O7" s="5">
        <v>0</v>
      </c>
      <c r="P7" s="5">
        <v>20</v>
      </c>
      <c r="Q7" s="5">
        <v>20</v>
      </c>
      <c r="R7" s="5">
        <v>20</v>
      </c>
      <c r="S7" s="5">
        <v>0</v>
      </c>
      <c r="T7" s="5" t="s">
        <v>45</v>
      </c>
      <c r="U7" s="5" t="s">
        <v>45</v>
      </c>
      <c r="V7" s="5" t="s">
        <v>45</v>
      </c>
      <c r="W7" s="5">
        <f>SUM(Table2[[#This Row],[Premissa 1]:[Premissa 8]])</f>
        <v>60</v>
      </c>
      <c r="X7" s="5" t="s">
        <v>14</v>
      </c>
      <c r="Y7" t="s">
        <v>202</v>
      </c>
    </row>
    <row r="8" spans="1:28" ht="15" hidden="1" customHeight="1">
      <c r="A8" s="4">
        <v>5800440256</v>
      </c>
      <c r="B8" s="4" t="e">
        <f>_xlfn.XLOOKUP(Table2[[#This Row],[Ativo]],Joao!B:B,Joao!Z:Z)</f>
        <v>#N/A</v>
      </c>
      <c r="C8" s="5" t="str">
        <f>MID(Table2[[#This Row],[Ativo]],1,2)</f>
        <v>58</v>
      </c>
      <c r="D8" s="5" t="s">
        <v>107</v>
      </c>
      <c r="E8" s="5" t="s">
        <v>108</v>
      </c>
      <c r="F8" s="5" t="s">
        <v>42</v>
      </c>
      <c r="G8" s="4" t="str">
        <f>IFERROR(_xlfn.XLOOKUP(Table2[[#This Row],[Ativo]],Pendentes[COD_RELIGADOR],Pendentes[SS_ORIGINAL]),"CONCLUÍDA")</f>
        <v>CONCLUÍDA</v>
      </c>
      <c r="H8" s="11" t="s">
        <v>683</v>
      </c>
      <c r="K8" s="4" t="s">
        <v>438</v>
      </c>
      <c r="L8" s="29"/>
      <c r="M8" s="31"/>
      <c r="N8" t="str">
        <f>IFERROR(_xlfn.XLOOKUP(Table2[[#This Row],[Ativo]],Pendentes[COD_RELIGADOR],Pendentes[DESCRICAO]),"")</f>
        <v/>
      </c>
      <c r="O8" s="5">
        <v>20</v>
      </c>
      <c r="P8" s="5">
        <v>20</v>
      </c>
      <c r="Q8" s="5">
        <v>20</v>
      </c>
      <c r="R8" s="5">
        <v>10</v>
      </c>
      <c r="S8" s="5">
        <v>20</v>
      </c>
      <c r="T8" s="5" t="s">
        <v>45</v>
      </c>
      <c r="U8" s="5" t="s">
        <v>45</v>
      </c>
      <c r="V8" s="5" t="s">
        <v>45</v>
      </c>
      <c r="W8" s="5">
        <f>SUM(Table2[[#This Row],[Premissa 1]:[Premissa 8]])</f>
        <v>90</v>
      </c>
      <c r="X8" s="5" t="s">
        <v>9</v>
      </c>
      <c r="Y8" t="s">
        <v>481</v>
      </c>
    </row>
    <row r="9" spans="1:28" ht="15" customHeight="1">
      <c r="A9" s="12">
        <v>5800859011</v>
      </c>
      <c r="B9" s="12">
        <f>_xlfn.XLOOKUP(Table2[[#This Row],[Ativo]],Joao!B:B,Joao!Z:Z)</f>
        <v>0</v>
      </c>
      <c r="C9" s="5" t="str">
        <f>MID(Table2[[#This Row],[Ativo]],1,2)</f>
        <v>58</v>
      </c>
      <c r="D9" s="5" t="s">
        <v>49</v>
      </c>
      <c r="E9" s="5" t="s">
        <v>50</v>
      </c>
      <c r="F9" s="5" t="s">
        <v>51</v>
      </c>
      <c r="G9" s="4" t="str">
        <f>IFERROR(_xlfn.XLOOKUP(Table2[[#This Row],[Ativo]],Pendentes[COD_RELIGADOR],Pendentes[SS_ORIGINAL]),"CONCLUÍDA")</f>
        <v>ETO-RD-GR 00735/2026</v>
      </c>
      <c r="H9" s="4" t="s">
        <v>455</v>
      </c>
      <c r="I9" s="4" t="s">
        <v>690</v>
      </c>
      <c r="J9" s="4" t="s">
        <v>691</v>
      </c>
      <c r="K9" s="4" t="s">
        <v>443</v>
      </c>
      <c r="L9" s="29" t="s">
        <v>447</v>
      </c>
      <c r="M9" s="31">
        <v>1</v>
      </c>
      <c r="N9" t="str">
        <f>IFERROR(_xlfn.XLOOKUP(Table2[[#This Row],[Ativo]],Pendentes[COD_RELIGADOR],Pendentes[DESCRICAO]),"")</f>
        <v>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ARAPOEMAPEÇA ENVIADA: CONTROLEPARECER DMSL: *FEEDBACK EQUIP. ESPECIAIS**Nº DO EQUIPAMENTO:* 5800859011*TIPO EQUIPAMENTO:* RT ITB *TIPO DE COMUNICAÇÃO:* Não *DATA DA MANUTENÇÃO:* 09/06/2026*SID:* 3195/2026*DESCRIÇÃO:* _ Foi identificado relé da fase C com defeito conforme orientação da supervisão e necessário realiza retrofit para instalação de controle rua.*FICOU EM OPERAÇÃO* Não*PENDÊNCIA:* Realizado Retrofit *DADOS DIVERGENTES DA PROGRAMAÇÃO:* Não*BATERIA SUBSTITUÍDA?:* Não*TIPO DE BATERIA:**EQUIPE:* Edeglan e Brunno.Observação: trocar por um controle RUA.------------------------------------------------------------------------------------------Enviar equipe do DMSL, para  fazer correção no RT 5800859011, o mesmo está com o displey da fase C apagado , dificutando  realizar  manobras no mesmo, emvirtude  disso o mesmo ficou BAY PASSADO EM CAMPO</v>
      </c>
      <c r="O9" s="5">
        <v>40</v>
      </c>
      <c r="P9" s="5">
        <v>20</v>
      </c>
      <c r="Q9" s="5">
        <v>20</v>
      </c>
      <c r="R9" s="5">
        <v>10</v>
      </c>
      <c r="S9" s="5">
        <v>20</v>
      </c>
      <c r="T9" s="5" t="s">
        <v>45</v>
      </c>
      <c r="U9" s="5" t="s">
        <v>45</v>
      </c>
      <c r="V9" s="5" t="s">
        <v>45</v>
      </c>
      <c r="W9" s="5">
        <f>SUM(Table2[[#This Row],[Premissa 1]:[Premissa 8]])</f>
        <v>110</v>
      </c>
      <c r="X9" s="5" t="s">
        <v>9</v>
      </c>
      <c r="Y9" t="s">
        <v>54</v>
      </c>
    </row>
    <row r="10" spans="1:28" ht="15" hidden="1" customHeight="1">
      <c r="A10" s="4">
        <v>5800961074</v>
      </c>
      <c r="B10" s="4" t="e">
        <f>_xlfn.XLOOKUP(Table2[[#This Row],[Ativo]],Joao!B:B,Joao!Z:Z)</f>
        <v>#N/A</v>
      </c>
      <c r="C10" s="5" t="str">
        <f>MID(Table2[[#This Row],[Ativo]],1,2)</f>
        <v>58</v>
      </c>
      <c r="D10" s="5" t="s">
        <v>75</v>
      </c>
      <c r="E10" s="5" t="s">
        <v>75</v>
      </c>
      <c r="F10" s="5" t="s">
        <v>76</v>
      </c>
      <c r="G10" s="4" t="str">
        <f>IFERROR(_xlfn.XLOOKUP(Table2[[#This Row],[Ativo]],Pendentes[COD_RELIGADOR],Pendentes[SS_ORIGINAL]),"CONCLUÍDA")</f>
        <v>ETO-COEP 00221/2025</v>
      </c>
      <c r="H10" s="4" t="s">
        <v>692</v>
      </c>
      <c r="I10" s="50" t="s">
        <v>693</v>
      </c>
      <c r="J10" s="50"/>
      <c r="K10" s="4" t="s">
        <v>694</v>
      </c>
      <c r="L10" s="29" t="s">
        <v>521</v>
      </c>
      <c r="M10" s="31">
        <v>3</v>
      </c>
      <c r="N10" t="str">
        <f>IFERROR(_xlfn.XLOOKUP(Table2[[#This Row],[Ativo]],Pendentes[COD_RELIGADOR],Pendentes[DESCRICAO]),"")</f>
        <v>PARECER COEP: EQUIPAMENTO SELECIONADO PARA COMPRASubstituir as 3 células- Melhoria na malha de aterramento - Melhoria no circuito de aterramento qua aterra as células.- Substituir conectores paralelos</v>
      </c>
      <c r="O10" s="5">
        <v>20</v>
      </c>
      <c r="P10" s="5">
        <v>0</v>
      </c>
      <c r="Q10" s="5">
        <v>0</v>
      </c>
      <c r="R10" s="5">
        <v>20</v>
      </c>
      <c r="S10" s="5">
        <v>0</v>
      </c>
      <c r="T10" s="5" t="s">
        <v>45</v>
      </c>
      <c r="U10" s="5" t="s">
        <v>45</v>
      </c>
      <c r="V10" s="5" t="s">
        <v>45</v>
      </c>
      <c r="W10" s="5">
        <f>SUM(Table2[[#This Row],[Premissa 1]:[Premissa 8]])</f>
        <v>40</v>
      </c>
      <c r="X10" s="5" t="s">
        <v>14</v>
      </c>
      <c r="Y10" t="s">
        <v>255</v>
      </c>
    </row>
    <row r="11" spans="1:28" ht="15" customHeight="1">
      <c r="A11" s="4">
        <v>5801866013</v>
      </c>
      <c r="B11" s="4" t="str">
        <f>_xlfn.XLOOKUP(Table2[[#This Row],[Ativo]],Joao!B:B,Joao!Z:Z)</f>
        <v>Aguardando previsão de substituição</v>
      </c>
      <c r="C11" s="5" t="str">
        <f>MID(Table2[[#This Row],[Ativo]],1,2)</f>
        <v>58</v>
      </c>
      <c r="D11" s="5" t="s">
        <v>97</v>
      </c>
      <c r="E11" s="5" t="s">
        <v>97</v>
      </c>
      <c r="F11" s="5" t="s">
        <v>42</v>
      </c>
      <c r="G11" s="4" t="str">
        <f>IFERROR(_xlfn.XLOOKUP(Table2[[#This Row],[Ativo]],Pendentes[COD_RELIGADOR],Pendentes[SS_ORIGINAL]),"CONCLUÍDA")</f>
        <v>ETO-PROT 00151/2026</v>
      </c>
      <c r="H11" s="4" t="s">
        <v>471</v>
      </c>
      <c r="I11" s="38"/>
      <c r="J11" s="38"/>
      <c r="K11" s="4" t="s">
        <v>443</v>
      </c>
      <c r="L11" s="29" t="s">
        <v>444</v>
      </c>
      <c r="M11" s="31">
        <v>1</v>
      </c>
      <c r="N11" t="str">
        <f>IFERROR(_xlfn.XLOOKUP(Table2[[#This Row],[Ativo]],Pendentes[COD_RELIGADOR],Pendentes[DESCRICAO]),"")</f>
        <v>15/07 PARECER COCM, FOI ATENDIDA PELA OS ETO-RD-PS 1616/2026 OBRA-021260053910/07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v>
      </c>
      <c r="O11" s="5">
        <v>0</v>
      </c>
      <c r="P11" s="5">
        <v>20</v>
      </c>
      <c r="Q11" s="5">
        <v>20</v>
      </c>
      <c r="R11" s="5">
        <v>20</v>
      </c>
      <c r="S11" s="5">
        <v>10</v>
      </c>
      <c r="T11" s="5" t="s">
        <v>45</v>
      </c>
      <c r="U11" s="5" t="s">
        <v>45</v>
      </c>
      <c r="V11" s="5" t="s">
        <v>45</v>
      </c>
      <c r="W11" s="5">
        <f>SUM(Table2[[#This Row],[Premissa 1]:[Premissa 8]])</f>
        <v>70</v>
      </c>
      <c r="X11" s="5" t="s">
        <v>13</v>
      </c>
      <c r="Y11" t="s">
        <v>184</v>
      </c>
    </row>
    <row r="12" spans="1:28" ht="15" hidden="1" customHeight="1">
      <c r="A12" s="4">
        <v>5803327001</v>
      </c>
      <c r="B12" s="4" t="e">
        <f>_xlfn.XLOOKUP(Table2[[#This Row],[Ativo]],Joao!B:B,Joao!Z:Z)</f>
        <v>#N/A</v>
      </c>
      <c r="C12" s="5" t="str">
        <f>MID(Table2[[#This Row],[Ativo]],1,2)</f>
        <v>58</v>
      </c>
      <c r="D12" s="5" t="s">
        <v>41</v>
      </c>
      <c r="E12" s="5" t="s">
        <v>41</v>
      </c>
      <c r="F12" s="5" t="s">
        <v>42</v>
      </c>
      <c r="G12" s="4" t="str">
        <f>IFERROR(_xlfn.XLOOKUP(Table2[[#This Row],[Ativo]],Pendentes[COD_RELIGADOR],Pendentes[SS_ORIGINAL]),"CONCLUÍDA")</f>
        <v>ETO-COEP 00149/2026</v>
      </c>
      <c r="H12" s="11" t="s">
        <v>467</v>
      </c>
      <c r="I12" s="4" t="s">
        <v>695</v>
      </c>
      <c r="K12" s="4" t="s">
        <v>443</v>
      </c>
      <c r="L12" s="29" t="s">
        <v>487</v>
      </c>
      <c r="M12" s="31">
        <v>1</v>
      </c>
      <c r="N12" t="str">
        <f>IFERROR(_xlfn.XLOOKUP(Table2[[#This Row],[Ativo]],Pendentes[COD_RELIGADOR],Pendentes[DESCRICAO]),"")</f>
        <v>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v>
      </c>
      <c r="O12" s="5">
        <v>40</v>
      </c>
      <c r="P12" s="5">
        <v>0</v>
      </c>
      <c r="Q12" s="5">
        <v>0</v>
      </c>
      <c r="R12" s="5">
        <v>20</v>
      </c>
      <c r="S12" s="5">
        <v>20</v>
      </c>
      <c r="T12" s="5" t="s">
        <v>45</v>
      </c>
      <c r="U12" s="5" t="s">
        <v>45</v>
      </c>
      <c r="V12" s="5" t="s">
        <v>45</v>
      </c>
      <c r="W12" s="5">
        <f>SUM(Table2[[#This Row],[Premissa 1]:[Premissa 8]])</f>
        <v>80</v>
      </c>
      <c r="X12" s="5" t="s">
        <v>13</v>
      </c>
      <c r="Y12" t="s">
        <v>151</v>
      </c>
    </row>
    <row r="13" spans="1:28" ht="15" hidden="1" customHeight="1">
      <c r="A13" s="39">
        <v>5820790038</v>
      </c>
      <c r="B13" s="39" t="e">
        <f>_xlfn.XLOOKUP(Table2[[#This Row],[Ativo]],Joao!B:B,Joao!Z:Z)</f>
        <v>#N/A</v>
      </c>
      <c r="C13" s="5" t="str">
        <f>MID(Table2[[#This Row],[Ativo]],1,2)</f>
        <v>58</v>
      </c>
      <c r="D13" s="5" t="s">
        <v>564</v>
      </c>
      <c r="E13" s="5" t="s">
        <v>75</v>
      </c>
      <c r="F13" s="5" t="s">
        <v>76</v>
      </c>
      <c r="G13" s="4" t="str">
        <f>IFERROR(_xlfn.XLOOKUP(Table2[[#This Row],[Ativo]],Pendentes[COD_RELIGADOR],Pendentes[SS_ORIGINAL]),"CONCLUÍDA")</f>
        <v>CONCLUÍDA</v>
      </c>
      <c r="L13" s="29"/>
      <c r="M13" s="31"/>
      <c r="N13" t="str">
        <f>IFERROR(_xlfn.XLOOKUP(Table2[[#This Row],[Ativo]],Pendentes[COD_RELIGADOR],Pendentes[DESCRICAO]),"")</f>
        <v/>
      </c>
      <c r="O13" s="5" t="s">
        <v>696</v>
      </c>
      <c r="P13" s="5"/>
      <c r="Q13" s="5"/>
      <c r="R13" s="5"/>
      <c r="S13" s="5"/>
      <c r="T13" s="5"/>
      <c r="U13" s="5"/>
      <c r="V13" s="5"/>
      <c r="W13" s="5">
        <f>SUM(Table2[[#This Row],[Premissa 1]:[Premissa 8]])</f>
        <v>0</v>
      </c>
      <c r="X13" s="5"/>
    </row>
    <row r="14" spans="1:28" ht="15" customHeight="1">
      <c r="A14" s="4">
        <v>5827102054</v>
      </c>
      <c r="B14" s="4" t="str">
        <f>_xlfn.XLOOKUP(Table2[[#This Row],[Ativo]],Joao!B:B,Joao!Z:Z)</f>
        <v>Cancelar a obra tentar vedação do equipamento Melhoria de aterramento</v>
      </c>
      <c r="C14" s="5" t="str">
        <f>MID(Table2[[#This Row],[Ativo]],1,2)</f>
        <v>58</v>
      </c>
      <c r="D14" s="5" t="s">
        <v>243</v>
      </c>
      <c r="E14" s="5" t="s">
        <v>97</v>
      </c>
      <c r="F14" s="5" t="s">
        <v>42</v>
      </c>
      <c r="G14" s="4" t="str">
        <f>IFERROR(_xlfn.XLOOKUP(Table2[[#This Row],[Ativo]],Pendentes[COD_RELIGADOR],Pendentes[SS_ORIGINAL]),"CONCLUÍDA")</f>
        <v>ETO-RD-PS 00289/2026</v>
      </c>
      <c r="H14" s="11" t="s">
        <v>482</v>
      </c>
      <c r="I14" s="9" t="s">
        <v>697</v>
      </c>
      <c r="J14" s="9"/>
      <c r="L14" s="29" t="s">
        <v>497</v>
      </c>
      <c r="M14" s="31">
        <v>1</v>
      </c>
      <c r="N14" t="str">
        <f>IFERROR(_xlfn.XLOOKUP(Table2[[#This Row],[Ativo]],Pendentes[COD_RELIGADOR],Pendentes[DESCRICAO]),"")</f>
        <v>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v>
      </c>
      <c r="O14" s="5">
        <v>0</v>
      </c>
      <c r="P14" s="5">
        <v>20</v>
      </c>
      <c r="Q14" s="5">
        <v>20</v>
      </c>
      <c r="R14" s="5">
        <v>10</v>
      </c>
      <c r="S14" s="5">
        <v>0</v>
      </c>
      <c r="T14" s="5" t="s">
        <v>45</v>
      </c>
      <c r="U14" s="5" t="s">
        <v>45</v>
      </c>
      <c r="V14" s="5" t="s">
        <v>45</v>
      </c>
      <c r="W14" s="5">
        <f>SUM(Table2[[#This Row],[Premissa 1]:[Premissa 8]])</f>
        <v>50</v>
      </c>
      <c r="X14" s="5" t="s">
        <v>14</v>
      </c>
      <c r="Y14" t="s">
        <v>246</v>
      </c>
    </row>
    <row r="15" spans="1:28" ht="15" hidden="1" customHeight="1">
      <c r="A15" s="4">
        <v>5836764032</v>
      </c>
      <c r="B15" s="4" t="e">
        <f>_xlfn.XLOOKUP(Table2[[#This Row],[Ativo]],Joao!B:B,Joao!Z:Z)</f>
        <v>#N/A</v>
      </c>
      <c r="C15" s="5" t="str">
        <f>MID(Table2[[#This Row],[Ativo]],1,2)</f>
        <v>58</v>
      </c>
      <c r="D15" s="5" t="s">
        <v>448</v>
      </c>
      <c r="E15" s="5" t="s">
        <v>449</v>
      </c>
      <c r="F15" s="5" t="s">
        <v>76</v>
      </c>
      <c r="G15" s="4" t="str">
        <f>IFERROR(_xlfn.XLOOKUP(Table2[[#This Row],[Ativo]],Pendentes[COD_RELIGADOR],Pendentes[SS_ORIGINAL]),"CONCLUÍDA")</f>
        <v>CONCLUÍDA</v>
      </c>
      <c r="H15" s="4" t="s">
        <v>683</v>
      </c>
      <c r="K15" s="4" t="s">
        <v>438</v>
      </c>
      <c r="L15" s="29"/>
      <c r="M15" s="31"/>
      <c r="N15" t="str">
        <f>IFERROR(_xlfn.XLOOKUP(Table2[[#This Row],[Ativo]],Pendentes[COD_RELIGADOR],Pendentes[DESCRICAO]),"")</f>
        <v/>
      </c>
      <c r="O15" s="5">
        <v>40</v>
      </c>
      <c r="P15" s="5">
        <v>20</v>
      </c>
      <c r="Q15" s="5">
        <v>20</v>
      </c>
      <c r="R15" s="5">
        <v>10</v>
      </c>
      <c r="S15" s="5">
        <v>20</v>
      </c>
      <c r="T15" s="5" t="s">
        <v>45</v>
      </c>
      <c r="U15" s="5" t="s">
        <v>45</v>
      </c>
      <c r="V15" s="5" t="s">
        <v>45</v>
      </c>
      <c r="W15" s="5">
        <f>SUM(Table2[[#This Row],[Premissa 1]:[Premissa 8]])</f>
        <v>110</v>
      </c>
      <c r="X15" s="5" t="s">
        <v>9</v>
      </c>
      <c r="Y15" t="s">
        <v>450</v>
      </c>
    </row>
    <row r="16" spans="1:28" ht="15" customHeight="1">
      <c r="A16" s="12">
        <v>5836786094</v>
      </c>
      <c r="B16" s="12" t="str">
        <f>_xlfn.XLOOKUP(Table2[[#This Row],[Ativo]],Joao!B:B,Joao!Z:Z)</f>
        <v>Aguardando criação da Obra</v>
      </c>
      <c r="C16" s="5" t="str">
        <f>MID(Table2[[#This Row],[Ativo]],1,2)</f>
        <v>58</v>
      </c>
      <c r="D16" s="5" t="s">
        <v>177</v>
      </c>
      <c r="E16" s="5" t="s">
        <v>177</v>
      </c>
      <c r="F16" s="5" t="s">
        <v>76</v>
      </c>
      <c r="G16" s="4" t="str">
        <f>IFERROR(_xlfn.XLOOKUP(Table2[[#This Row],[Ativo]],Pendentes[COD_RELIGADOR],Pendentes[SS_ORIGINAL]),"CONCLUÍDA")</f>
        <v>ETO-COEP 00095/2026</v>
      </c>
      <c r="H16" s="4" t="s">
        <v>467</v>
      </c>
      <c r="I16" s="4" t="s">
        <v>575</v>
      </c>
      <c r="K16" s="4" t="s">
        <v>443</v>
      </c>
      <c r="L16" s="29" t="s">
        <v>444</v>
      </c>
      <c r="M16" s="31">
        <v>1</v>
      </c>
      <c r="N16" t="str">
        <f>IFERROR(_xlfn.XLOOKUP(Table2[[#This Row],[Ativo]],Pendentes[COD_RELIGADOR],Pendentes[DESCRICAO]),"")</f>
        <v>24/07 PARECER COEP:EQUIPAMENTO EM LOGISTICA DE ENTREGA Favor levar outro regulador de tensão, pois o mesmo foi furtado em campo.</v>
      </c>
      <c r="O16" s="5">
        <v>0</v>
      </c>
      <c r="P16" s="5">
        <v>0</v>
      </c>
      <c r="Q16" s="5">
        <v>0</v>
      </c>
      <c r="R16" s="5">
        <v>10</v>
      </c>
      <c r="S16" s="5">
        <v>10</v>
      </c>
      <c r="T16" s="5" t="s">
        <v>45</v>
      </c>
      <c r="U16" s="5" t="s">
        <v>45</v>
      </c>
      <c r="V16" s="5" t="s">
        <v>45</v>
      </c>
      <c r="W16" s="5">
        <f>SUM(Table2[[#This Row],[Premissa 1]:[Premissa 8]])</f>
        <v>20</v>
      </c>
      <c r="X16" s="5" t="s">
        <v>15</v>
      </c>
      <c r="Y16" t="s">
        <v>346</v>
      </c>
    </row>
    <row r="17" spans="1:25" ht="15" hidden="1" customHeight="1">
      <c r="A17" s="4">
        <v>5839141113</v>
      </c>
      <c r="B17" s="4" t="e">
        <f>_xlfn.XLOOKUP(Table2[[#This Row],[Ativo]],Joao!B:B,Joao!Z:Z)</f>
        <v>#N/A</v>
      </c>
      <c r="C17" s="5" t="str">
        <f>MID(Table2[[#This Row],[Ativo]],1,2)</f>
        <v>58</v>
      </c>
      <c r="G17" s="4" t="str">
        <f>IFERROR(_xlfn.XLOOKUP(Table2[[#This Row],[Ativo]],Pendentes[COD_RELIGADOR],Pendentes[SS_ORIGINAL]),"CONCLUÍDA")</f>
        <v>ETO-TELE 00985/2026</v>
      </c>
      <c r="H17" s="4" t="s">
        <v>698</v>
      </c>
      <c r="L17" s="29"/>
      <c r="M17" s="31"/>
      <c r="N17" t="str">
        <f>IFERROR(_xlfn.XLOOKUP(Table2[[#This Row],[Ativo]],Pendentes[COD_RELIGADOR],Pendentes[DESCRICAO]),"")</f>
        <v>Segue nota para averiguar ajuste regulador de tensão N: 5839141113 - RDU - Couto Magalhães , e verificar falha de comunicação   .Equipe operacional verificou que vários transformadores urbanos estão com nível de tensão baixa .Foi feito primeiro ataque regulador está comutando normalmente as 3 fases , porém não está no nível adequado !Em campo regulador estava no Tap R1 - 02 , R2 + 01 , R3 +03Medições feitas :Transformador 5700010113     - NA: 205 NB: 206 NC: 210Transformador 5700011113      - NA: 204 NB: 206 NC: 209Transformador 5700333113       -NA: 205 NB: 207 NC: 208OBS: solicitar equipe para realizar medição aterramento ,  e verificar ajuste junto ao time proteção .  verificar falha de comunicação no equipamento .</v>
      </c>
      <c r="O17" s="5"/>
      <c r="P17" s="5"/>
      <c r="Q17" s="5"/>
      <c r="R17" s="5"/>
      <c r="S17" s="5"/>
      <c r="T17" s="5"/>
      <c r="U17" s="5"/>
      <c r="V17" s="5"/>
      <c r="W17" s="5">
        <f>SUM(Table2[[#This Row],[Premissa 1]:[Premissa 8]])</f>
        <v>0</v>
      </c>
      <c r="X17" s="5"/>
    </row>
    <row r="18" spans="1:25" ht="15" hidden="1" customHeight="1">
      <c r="A18" s="4">
        <v>5840227063</v>
      </c>
      <c r="B18" s="4" t="e">
        <f>_xlfn.XLOOKUP(Table2[[#This Row],[Ativo]],Joao!B:B,Joao!Z:Z)</f>
        <v>#N/A</v>
      </c>
      <c r="C18" s="5" t="str">
        <f>MID(Table2[[#This Row],[Ativo]],1,2)</f>
        <v>58</v>
      </c>
      <c r="D18" s="5" t="s">
        <v>204</v>
      </c>
      <c r="E18" s="5" t="s">
        <v>154</v>
      </c>
      <c r="F18" s="5" t="s">
        <v>51</v>
      </c>
      <c r="G18" s="4" t="str">
        <f>IFERROR(_xlfn.XLOOKUP(Table2[[#This Row],[Ativo]],Pendentes[COD_RELIGADOR],Pendentes[SS_ORIGINAL]),"CONCLUÍDA")</f>
        <v>ETO-COEP 00151/2026</v>
      </c>
      <c r="H18" s="4" t="s">
        <v>451</v>
      </c>
      <c r="K18" s="4" t="s">
        <v>694</v>
      </c>
      <c r="L18" s="29" t="s">
        <v>444</v>
      </c>
      <c r="M18" s="31">
        <v>1</v>
      </c>
      <c r="N18" t="str">
        <f>IFERROR(_xlfn.XLOOKUP(Table2[[#This Row],[Ativo]],Pendentes[COD_RELIGADOR],Pendentes[DESCRICAO]),"")</f>
        <v>PARECER DMSL 13/07/2026: Realizados ensaios de isolação nas três células, e foi identificado curto na fase A, sendo necessário a sua substituição. Os cabos das buchas ficaram desconectados para melhor identificação no momento da sua substituiçãSEGUE PARA O DMSL AVALIAR ANTES DE SEGUIRMOS COM O SERVIÇOSEGUE PARA REALIZAR TROCA---------------------------------------------------------Boa noite,Segue SS para tratativas regulador de tensão 5840227063 fase C em curto</v>
      </c>
      <c r="O18" s="5">
        <v>0</v>
      </c>
      <c r="P18" s="5">
        <v>20</v>
      </c>
      <c r="Q18" s="5">
        <v>20</v>
      </c>
      <c r="R18" s="5">
        <v>10</v>
      </c>
      <c r="S18" s="5">
        <v>10</v>
      </c>
      <c r="T18" s="5" t="s">
        <v>45</v>
      </c>
      <c r="U18" s="5" t="s">
        <v>45</v>
      </c>
      <c r="V18" s="5" t="s">
        <v>45</v>
      </c>
      <c r="W18" s="5">
        <f>SUM(Table2[[#This Row],[Premissa 1]:[Premissa 8]])</f>
        <v>60</v>
      </c>
      <c r="X18" s="5" t="s">
        <v>14</v>
      </c>
      <c r="Y18" t="s">
        <v>207</v>
      </c>
    </row>
    <row r="19" spans="1:25" ht="15" hidden="1" customHeight="1">
      <c r="A19" s="4">
        <v>5841308190</v>
      </c>
      <c r="B19" s="4" t="e">
        <f>_xlfn.XLOOKUP(Table2[[#This Row],[Ativo]],Joao!B:B,Joao!Z:Z)</f>
        <v>#N/A</v>
      </c>
      <c r="C19" s="5" t="str">
        <f>MID(Table2[[#This Row],[Ativo]],1,2)</f>
        <v>58</v>
      </c>
      <c r="D19" s="5" t="s">
        <v>530</v>
      </c>
      <c r="E19" s="5" t="s">
        <v>75</v>
      </c>
      <c r="F19" s="5" t="s">
        <v>76</v>
      </c>
      <c r="G19" s="4" t="str">
        <f>IFERROR(_xlfn.XLOOKUP(Table2[[#This Row],[Ativo]],Pendentes[COD_RELIGADOR],Pendentes[SS_ORIGINAL]),"CONCLUÍDA")</f>
        <v>CONCLUÍDA</v>
      </c>
      <c r="H19" s="4" t="s">
        <v>699</v>
      </c>
      <c r="I19" s="4" t="s">
        <v>700</v>
      </c>
      <c r="K19" s="4" t="s">
        <v>531</v>
      </c>
      <c r="L19" s="29" t="s">
        <v>45</v>
      </c>
      <c r="M19" s="31"/>
      <c r="N19" t="str">
        <f>IFERROR(_xlfn.XLOOKUP(Table2[[#This Row],[Ativo]],Pendentes[COD_RELIGADOR],Pendentes[DESCRICAO]),"")</f>
        <v/>
      </c>
      <c r="O19" s="5">
        <v>0</v>
      </c>
      <c r="P19" s="5">
        <v>20</v>
      </c>
      <c r="Q19" s="5">
        <v>0</v>
      </c>
      <c r="R19" s="5">
        <v>10</v>
      </c>
      <c r="S19" s="5">
        <v>0</v>
      </c>
      <c r="T19" s="5" t="s">
        <v>45</v>
      </c>
      <c r="U19" s="5" t="s">
        <v>45</v>
      </c>
      <c r="V19" s="5" t="s">
        <v>45</v>
      </c>
      <c r="W19" s="5">
        <f>SUM(Table2[[#This Row],[Premissa 1]:[Premissa 8]])</f>
        <v>30</v>
      </c>
      <c r="X19" s="5" t="s">
        <v>15</v>
      </c>
      <c r="Y19" t="s">
        <v>532</v>
      </c>
    </row>
    <row r="20" spans="1:25" ht="15" customHeight="1">
      <c r="A20" s="12">
        <v>5844630060</v>
      </c>
      <c r="B20" s="12" t="str">
        <f>_xlfn.XLOOKUP(Table2[[#This Row],[Ativo]],Joao!B:B,Joao!Z:Z)</f>
        <v>Entrega 16/07</v>
      </c>
      <c r="C20" s="5" t="str">
        <f>MID(Table2[[#This Row],[Ativo]],1,2)</f>
        <v>58</v>
      </c>
      <c r="D20" s="5" t="s">
        <v>533</v>
      </c>
      <c r="E20" s="5" t="s">
        <v>154</v>
      </c>
      <c r="F20" s="5" t="s">
        <v>51</v>
      </c>
      <c r="G20" s="4" t="str">
        <f>IFERROR(_xlfn.XLOOKUP(Table2[[#This Row],[Ativo]],Pendentes[COD_RELIGADOR],Pendentes[SS_ORIGINAL]),"CONCLUÍDA")</f>
        <v>CONCLUÍDA</v>
      </c>
      <c r="H20" s="4" t="s">
        <v>701</v>
      </c>
      <c r="I20" s="4" t="s">
        <v>702</v>
      </c>
      <c r="K20" s="4" t="s">
        <v>443</v>
      </c>
      <c r="L20" s="29" t="s">
        <v>444</v>
      </c>
      <c r="M20" s="31">
        <v>1</v>
      </c>
      <c r="N20" t="str">
        <f>IFERROR(_xlfn.XLOOKUP(Table2[[#This Row],[Ativo]],Pendentes[COD_RELIGADOR],Pendentes[DESCRICAO]),"")</f>
        <v/>
      </c>
      <c r="O20" s="5">
        <v>20</v>
      </c>
      <c r="P20" s="5">
        <v>0</v>
      </c>
      <c r="Q20" s="5">
        <v>0</v>
      </c>
      <c r="R20" s="5">
        <v>10</v>
      </c>
      <c r="S20" s="5">
        <v>0</v>
      </c>
      <c r="T20" s="5" t="s">
        <v>45</v>
      </c>
      <c r="U20" s="5" t="s">
        <v>45</v>
      </c>
      <c r="V20" s="5" t="s">
        <v>45</v>
      </c>
      <c r="W20" s="5">
        <f>SUM(Table2[[#This Row],[Premissa 1]:[Premissa 8]])</f>
        <v>30</v>
      </c>
      <c r="X20" s="5" t="s">
        <v>15</v>
      </c>
      <c r="Y20" t="s">
        <v>535</v>
      </c>
    </row>
    <row r="21" spans="1:25" ht="15" hidden="1" customHeight="1">
      <c r="A21" s="4">
        <v>5846328094</v>
      </c>
      <c r="B21" s="4" t="e">
        <f>_xlfn.XLOOKUP(Table2[[#This Row],[Ativo]],Joao!B:B,Joao!Z:Z)</f>
        <v>#N/A</v>
      </c>
      <c r="C21" s="5" t="str">
        <f>MID(Table2[[#This Row],[Ativo]],1,2)</f>
        <v>58</v>
      </c>
      <c r="D21" s="5" t="s">
        <v>177</v>
      </c>
      <c r="E21" s="5" t="s">
        <v>177</v>
      </c>
      <c r="F21" s="5" t="s">
        <v>76</v>
      </c>
      <c r="G21" s="4" t="str">
        <f>IFERROR(_xlfn.XLOOKUP(Table2[[#This Row],[Ativo]],Pendentes[COD_RELIGADOR],Pendentes[SS_ORIGINAL]),"CONCLUÍDA")</f>
        <v>ETO-TELE 00986/2026</v>
      </c>
      <c r="H21" s="4" t="s">
        <v>482</v>
      </c>
      <c r="K21" s="4" t="s">
        <v>443</v>
      </c>
      <c r="L21" s="29" t="s">
        <v>497</v>
      </c>
      <c r="M21" s="31">
        <v>1</v>
      </c>
      <c r="N21" t="str">
        <f>IFERROR(_xlfn.XLOOKUP(Table2[[#This Row],[Ativo]],Pendentes[COD_RELIGADOR],Pendentes[DESCRICAO]),"")</f>
        <v>COCM SUL - 07/07/2026 - FOI REALIZADO MELHORIA DE ATERRAMENTO E FEITO A MANUTENÇÕES E TODAS AS CHAVES E SUBSTITUIDO OS CONECTORES.PARECER COEP: MELHORIA DE ATERRAMENTO É COCM'S, FAVOR ENCAMINHAR DIRETAMENTE PARA ELES, COCM'S REALIZAR MELHORIA DE ATERRAMENTO POR FAVORPor genteliiza verificar RT 5846328094 situação de equipamento, se encontra by passado em campoPARECER DMSL:Favor, realizar melhoria de aterramento que se encontra alta e substituir todos os conectores das buchas por conectores estrangulador.</v>
      </c>
      <c r="O21" s="5">
        <v>0</v>
      </c>
      <c r="P21" s="5">
        <v>20</v>
      </c>
      <c r="Q21" s="5">
        <v>20</v>
      </c>
      <c r="R21" s="5">
        <v>10</v>
      </c>
      <c r="S21" s="5">
        <v>10</v>
      </c>
      <c r="T21" s="5" t="s">
        <v>45</v>
      </c>
      <c r="U21" s="5" t="s">
        <v>45</v>
      </c>
      <c r="V21" s="5" t="s">
        <v>45</v>
      </c>
      <c r="W21" s="5">
        <f>SUM(Table2[[#This Row],[Premissa 1]:[Premissa 8]])</f>
        <v>60</v>
      </c>
      <c r="X21" s="5" t="s">
        <v>14</v>
      </c>
      <c r="Y21" t="s">
        <v>217</v>
      </c>
    </row>
    <row r="22" spans="1:25" ht="15" hidden="1" customHeight="1">
      <c r="A22" s="4">
        <v>5848305116</v>
      </c>
      <c r="B22" s="4" t="e">
        <f>_xlfn.XLOOKUP(Table2[[#This Row],[Ativo]],Joao!B:B,Joao!Z:Z)</f>
        <v>#N/A</v>
      </c>
      <c r="C22" s="5" t="str">
        <f>MID(Table2[[#This Row],[Ativo]],1,2)</f>
        <v>58</v>
      </c>
      <c r="G22" s="4" t="str">
        <f>IFERROR(_xlfn.XLOOKUP(Table2[[#This Row],[Ativo]],Pendentes[COD_RELIGADOR],Pendentes[SS_ORIGINAL]),"CONCLUÍDA")</f>
        <v>ETO-TELE 01005/2026</v>
      </c>
      <c r="H22" s="4" t="s">
        <v>698</v>
      </c>
      <c r="L22" s="29"/>
      <c r="M22" s="31"/>
      <c r="N22" t="str">
        <f>IFERROR(_xlfn.XLOOKUP(Table2[[#This Row],[Ativo]],Pendentes[COD_RELIGADOR],Pendentes[DESCRICAO]),"")</f>
        <v>Segue nota para verificar falha e constantes travamento no regulador de tensão 5848305116 - chapada da Natividade .Foi identificado que regulador está com divergência em TAP"S analógico e digital .Foi executado comandos no relé para comutar TAP na fase AB foi executado no relé , porém não alterou analógico e nem fez barulho algum , a princípio a fase C está normal .</v>
      </c>
      <c r="O22" s="5"/>
      <c r="P22" s="5"/>
      <c r="Q22" s="5"/>
      <c r="R22" s="5"/>
      <c r="S22" s="5"/>
      <c r="T22" s="5"/>
      <c r="U22" s="5"/>
      <c r="V22" s="5"/>
      <c r="W22" s="5">
        <f>SUM(Table2[[#This Row],[Premissa 1]:[Premissa 8]])</f>
        <v>0</v>
      </c>
      <c r="X22" s="5"/>
    </row>
    <row r="23" spans="1:25" ht="15" customHeight="1">
      <c r="A23" s="4">
        <v>5850308009</v>
      </c>
      <c r="B23" s="4" t="str">
        <f>_xlfn.XLOOKUP(Table2[[#This Row],[Ativo]],Joao!B:B,Joao!Z:Z)</f>
        <v>Equipamento em operação em campo de acordo com a visita do Luanderson tem fotos
Equipamento já em operação , realocar controle de Regulador para Arapoema 5800371025</v>
      </c>
      <c r="C23" s="5" t="str">
        <f>MID(Table2[[#This Row],[Ativo]],1,2)</f>
        <v>58</v>
      </c>
      <c r="D23" s="5" t="s">
        <v>50</v>
      </c>
      <c r="E23" s="5" t="s">
        <v>50</v>
      </c>
      <c r="F23" s="5" t="s">
        <v>51</v>
      </c>
      <c r="G23" s="4" t="str">
        <f>IFERROR(_xlfn.XLOOKUP(Table2[[#This Row],[Ativo]],Pendentes[COD_RELIGADOR],Pendentes[SS_ORIGINAL]),"CONCLUÍDA")</f>
        <v>CONCLUÍDA</v>
      </c>
      <c r="H23" s="11" t="s">
        <v>683</v>
      </c>
      <c r="I23" s="9"/>
      <c r="J23" s="9"/>
      <c r="K23" s="4" t="s">
        <v>438</v>
      </c>
      <c r="L23" s="29"/>
      <c r="M23" s="31"/>
      <c r="N23" t="str">
        <f>IFERROR(_xlfn.XLOOKUP(Table2[[#This Row],[Ativo]],Pendentes[COD_RELIGADOR],Pendentes[DESCRICAO]),"")</f>
        <v/>
      </c>
      <c r="O23" s="5">
        <v>0</v>
      </c>
      <c r="P23" s="5">
        <v>20</v>
      </c>
      <c r="Q23" s="5">
        <v>20</v>
      </c>
      <c r="R23" s="5">
        <v>0</v>
      </c>
      <c r="S23" s="5">
        <v>10</v>
      </c>
      <c r="T23" s="5" t="s">
        <v>45</v>
      </c>
      <c r="U23" s="5" t="s">
        <v>45</v>
      </c>
      <c r="V23" s="5" t="s">
        <v>45</v>
      </c>
      <c r="W23" s="5">
        <f>SUM(Table2[[#This Row],[Premissa 1]:[Premissa 8]])</f>
        <v>50</v>
      </c>
      <c r="X23" s="5" t="s">
        <v>14</v>
      </c>
      <c r="Y23" t="s">
        <v>517</v>
      </c>
    </row>
    <row r="24" spans="1:25" ht="15" hidden="1" customHeight="1">
      <c r="A24" s="4">
        <v>5851753086</v>
      </c>
      <c r="B24" s="4" t="e">
        <f>_xlfn.XLOOKUP(Table2[[#This Row],[Ativo]],Joao!B:B,Joao!Z:Z)</f>
        <v>#N/A</v>
      </c>
      <c r="C24" s="5" t="str">
        <f>MID(Table2[[#This Row],[Ativo]],1,2)</f>
        <v>58</v>
      </c>
      <c r="D24" s="5" t="s">
        <v>209</v>
      </c>
      <c r="E24" s="5" t="s">
        <v>210</v>
      </c>
      <c r="F24" s="5" t="s">
        <v>42</v>
      </c>
      <c r="G24" s="4" t="str">
        <f>IFERROR(_xlfn.XLOOKUP(Table2[[#This Row],[Ativo]],Pendentes[COD_RELIGADOR],Pendentes[SS_ORIGINAL]),"CONCLUÍDA")</f>
        <v>ETO-TELE 00881/2026</v>
      </c>
      <c r="H24" s="4" t="s">
        <v>482</v>
      </c>
      <c r="K24" s="4" t="s">
        <v>443</v>
      </c>
      <c r="L24" s="29" t="s">
        <v>497</v>
      </c>
      <c r="M24" s="31">
        <v>1</v>
      </c>
      <c r="N24" t="str">
        <f>IFERROR(_xlfn.XLOOKUP(Table2[[#This Row],[Ativo]],Pendentes[COD_RELIGADOR],Pendentes[DESCRICAO]),"")</f>
        <v>PARECER DMSL: FAVOR SOLUCIONAR PENDENCIAS RT: 5851753086Relé R.U.A  Data: _19/05/2026Sid: 2740/2026Possui rádio?: SimPossui antena?: SimPossui módulo nobreak?: SimServiço Executado: * Feito testes no equipamento,o mesmo está normal.* Será necessário fazer melhorias na malha de terra e colocar em operação.Equipamento ficou em operação? Não Pendência: Sim. É necessário fazer melhorias na malha de aterramento.Bateria(s) substituída(s)? _nao Data Fabricação/Instalação da(s) bateria(s): 12/2025Equipe: Jean e BenvindoPARECER DCMD: FEITO MELHORIA NA MALHA DO ATERRAMENTO, FAVOR ENVIAR EQUIPE PARA COLOCA-LO EM OPERAÇÃORT 5851753086MESMO ESTA BY-PASSADO EM CAMPO EQUIPE SINERGIA 086OP01 ESTEVE NO LOCAL APARENTIMENTE SEM DEFEITO APARENTE MESMO FOI BY PASSADO POR TER TIRADO LINHA.DESDE ENTAO MESMO NAO VOLTOU PARA OPERAÇÃO .FAVOR VERIFICAR PARA TESTES POSSIVEIS .PARA QUE O MESMO VOLTA COM DISPONIBILIDADE PARA OPERAÇÃO .</v>
      </c>
      <c r="O24" s="5">
        <v>0</v>
      </c>
      <c r="P24" s="5">
        <v>20</v>
      </c>
      <c r="Q24" s="5">
        <v>20</v>
      </c>
      <c r="R24" s="5">
        <v>10</v>
      </c>
      <c r="S24" s="5">
        <v>10</v>
      </c>
      <c r="T24" s="5" t="s">
        <v>45</v>
      </c>
      <c r="U24" s="5" t="s">
        <v>45</v>
      </c>
      <c r="V24" s="5" t="s">
        <v>45</v>
      </c>
      <c r="W24" s="5">
        <f>SUM(Table2[[#This Row],[Premissa 1]:[Premissa 8]])</f>
        <v>60</v>
      </c>
      <c r="X24" s="5" t="s">
        <v>14</v>
      </c>
      <c r="Y24" t="s">
        <v>213</v>
      </c>
    </row>
    <row r="25" spans="1:25" ht="15" customHeight="1">
      <c r="A25" s="12">
        <v>5853360007</v>
      </c>
      <c r="B25" s="12" t="str">
        <f>_xlfn.XLOOKUP(Table2[[#This Row],[Ativo]],Joao!B:B,Joao!Z:Z)</f>
        <v>Melhoria de aterramento</v>
      </c>
      <c r="C25" s="5" t="str">
        <f>MID(Table2[[#This Row],[Ativo]],1,2)</f>
        <v>58</v>
      </c>
      <c r="D25" s="5" t="s">
        <v>186</v>
      </c>
      <c r="E25" s="5" t="s">
        <v>186</v>
      </c>
      <c r="F25" s="5" t="s">
        <v>42</v>
      </c>
      <c r="G25" s="4" t="str">
        <f>IFERROR(_xlfn.XLOOKUP(Table2[[#This Row],[Ativo]],Pendentes[COD_RELIGADOR],Pendentes[SS_ORIGINAL]),"CONCLUÍDA")</f>
        <v>ETO-RD-PS 00323/2025</v>
      </c>
      <c r="H25" s="28" t="s">
        <v>498</v>
      </c>
      <c r="I25" s="4" t="s">
        <v>499</v>
      </c>
      <c r="L25" s="29" t="s">
        <v>497</v>
      </c>
      <c r="M25" s="31">
        <v>1</v>
      </c>
      <c r="N25" t="str">
        <f>IFERROR(_xlfn.XLOOKUP(Table2[[#This Row],[Ativo]],Pendentes[COD_RELIGADOR],Pendentes[DESCRICAO]),"")</f>
        <v>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v>
      </c>
      <c r="O25" s="5">
        <v>0</v>
      </c>
      <c r="P25" s="5">
        <v>20</v>
      </c>
      <c r="Q25" s="5">
        <v>20</v>
      </c>
      <c r="R25" s="5">
        <v>10</v>
      </c>
      <c r="S25" s="5">
        <v>20</v>
      </c>
      <c r="T25" s="5" t="s">
        <v>45</v>
      </c>
      <c r="U25" s="5" t="s">
        <v>45</v>
      </c>
      <c r="V25" s="5" t="s">
        <v>45</v>
      </c>
      <c r="W25" s="5">
        <f>SUM(Table2[[#This Row],[Premissa 1]:[Premissa 8]])</f>
        <v>70</v>
      </c>
      <c r="X25" s="5" t="s">
        <v>13</v>
      </c>
      <c r="Y25" t="s">
        <v>189</v>
      </c>
    </row>
    <row r="26" spans="1:25" ht="15" customHeight="1">
      <c r="A26" s="12">
        <v>5854566043</v>
      </c>
      <c r="B26" s="12" t="str">
        <f>_xlfn.XLOOKUP(Table2[[#This Row],[Ativo]],Joao!B:B,Joao!Z:Z)</f>
        <v>Aguardando previsão de substituição</v>
      </c>
      <c r="C26" s="5" t="str">
        <f>MID(Table2[[#This Row],[Ativo]],1,2)</f>
        <v>58</v>
      </c>
      <c r="D26" s="5" t="s">
        <v>40</v>
      </c>
      <c r="E26" s="5" t="s">
        <v>41</v>
      </c>
      <c r="F26" s="5" t="s">
        <v>42</v>
      </c>
      <c r="G26" s="4" t="str">
        <f>IFERROR(_xlfn.XLOOKUP(Table2[[#This Row],[Ativo]],Pendentes[COD_RELIGADOR],Pendentes[SS_ORIGINAL]),"CONCLUÍDA")</f>
        <v>ETO-RD-PO 00213/2026</v>
      </c>
      <c r="H26" s="5" t="s">
        <v>703</v>
      </c>
      <c r="J26" s="4" t="s">
        <v>704</v>
      </c>
      <c r="K26" s="4" t="s">
        <v>443</v>
      </c>
      <c r="L26" s="29" t="s">
        <v>444</v>
      </c>
      <c r="M26" s="31">
        <v>1</v>
      </c>
      <c r="N26" t="str">
        <f>IFERROR(_xlfn.XLOOKUP(Table2[[#This Row],[Ativo]],Pendentes[COD_RELIGADOR],Pendentes[DESCRICAO]),"")</f>
        <v>22/07/2026 PARECER COEP: EQUIPAMENTO ENTREGUE AOS COCM´SPRAZO DE 7 DIAS CONTANDO O SLA.PARECER COEP: EQUIPAMENTO ENTREGUE AOS COCM´S FAVOR SUSBSTTUIR , E AGUARDO O PRAZO DE PREVISÃO DE SUBSTIUIÇÃOboa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v>
      </c>
      <c r="O26" s="5">
        <v>40</v>
      </c>
      <c r="P26" s="5">
        <v>20</v>
      </c>
      <c r="Q26" s="5">
        <v>20</v>
      </c>
      <c r="R26" s="5">
        <v>10</v>
      </c>
      <c r="S26" s="5">
        <v>20</v>
      </c>
      <c r="T26" s="5" t="s">
        <v>45</v>
      </c>
      <c r="U26" s="5" t="s">
        <v>45</v>
      </c>
      <c r="V26" s="5" t="s">
        <v>45</v>
      </c>
      <c r="W26" s="5">
        <f>SUM(Table2[[#This Row],[Premissa 1]:[Premissa 8]])</f>
        <v>110</v>
      </c>
      <c r="X26" s="5" t="s">
        <v>9</v>
      </c>
      <c r="Y26" t="s">
        <v>46</v>
      </c>
    </row>
    <row r="27" spans="1:25" ht="15" customHeight="1">
      <c r="A27" s="4">
        <v>5855411017</v>
      </c>
      <c r="B27" s="4" t="str">
        <f>_xlfn.XLOOKUP(Table2[[#This Row],[Ativo]],Joao!B:B,Joao!Z:Z)</f>
        <v>Aguardando previsão de substituição</v>
      </c>
      <c r="C27" s="5" t="str">
        <f>MID(Table2[[#This Row],[Ativo]],1,2)</f>
        <v>58</v>
      </c>
      <c r="D27" s="5" t="s">
        <v>302</v>
      </c>
      <c r="E27" s="5" t="s">
        <v>186</v>
      </c>
      <c r="F27" s="5" t="s">
        <v>42</v>
      </c>
      <c r="G27" s="4" t="str">
        <f>IFERROR(_xlfn.XLOOKUP(Table2[[#This Row],[Ativo]],Pendentes[COD_RELIGADOR],Pendentes[SS_ORIGINAL]),"CONCLUÍDA")</f>
        <v>ETO-COEP 00156/2026</v>
      </c>
      <c r="H27" s="4" t="s">
        <v>451</v>
      </c>
      <c r="K27" s="4" t="s">
        <v>694</v>
      </c>
      <c r="L27" s="29" t="s">
        <v>460</v>
      </c>
      <c r="M27" s="31">
        <v>1</v>
      </c>
      <c r="N27" t="str">
        <f>IFERROR(_xlfn.XLOOKUP(Table2[[#This Row],[Ativo]],Pendentes[COD_RELIGADOR],Pendentes[DESCRICAO]),"")</f>
        <v>20/07 PARECER COCM: NÃO RECEBEMOS MATERIAL10/07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v>
      </c>
      <c r="O27" s="5">
        <v>0</v>
      </c>
      <c r="P27" s="5">
        <v>0</v>
      </c>
      <c r="Q27" s="5">
        <v>0</v>
      </c>
      <c r="R27" s="5">
        <v>10</v>
      </c>
      <c r="S27" s="5">
        <v>20</v>
      </c>
      <c r="T27" s="5" t="s">
        <v>45</v>
      </c>
      <c r="U27" s="5" t="s">
        <v>45</v>
      </c>
      <c r="V27" s="5" t="s">
        <v>45</v>
      </c>
      <c r="W27" s="5">
        <f>SUM(Table2[[#This Row],[Premissa 1]:[Premissa 8]])</f>
        <v>30</v>
      </c>
      <c r="X27" s="5" t="s">
        <v>15</v>
      </c>
      <c r="Y27" t="s">
        <v>305</v>
      </c>
    </row>
    <row r="28" spans="1:25" ht="15" customHeight="1">
      <c r="A28" s="4">
        <v>5856070091</v>
      </c>
      <c r="B28" s="4" t="str">
        <f>_xlfn.XLOOKUP(Table2[[#This Row],[Ativo]],Joao!B:B,Joao!Z:Z)</f>
        <v>REQUISITAR 03 PEÇAS POIS 02  PÇ FOI RETIRADA PARA INSTALAÇÃO EM OBRA DE CONSTRUÇÃO.</v>
      </c>
      <c r="C28" s="5" t="str">
        <f>MID(Table2[[#This Row],[Ativo]],1,2)</f>
        <v>58</v>
      </c>
      <c r="D28" s="5" t="s">
        <v>74</v>
      </c>
      <c r="E28" s="5" t="s">
        <v>75</v>
      </c>
      <c r="F28" s="5" t="s">
        <v>76</v>
      </c>
      <c r="G28" s="4" t="str">
        <f>IFERROR(_xlfn.XLOOKUP(Table2[[#This Row],[Ativo]],Pendentes[COD_RELIGADOR],Pendentes[SS_ORIGINAL]),"CONCLUÍDA")</f>
        <v>ETO-RD-DP 00479/2026</v>
      </c>
      <c r="H28" s="4" t="s">
        <v>445</v>
      </c>
      <c r="I28" s="4" t="s">
        <v>705</v>
      </c>
      <c r="K28" s="4" t="s">
        <v>443</v>
      </c>
      <c r="L28" s="29" t="s">
        <v>462</v>
      </c>
      <c r="M28" s="31">
        <v>3</v>
      </c>
      <c r="N28" t="str">
        <f>IFERROR(_xlfn.XLOOKUP(Table2[[#This Row],[Ativo]],Pendentes[COD_RELIGADOR],Pendentes[DESCRICAO]),"")</f>
        <v>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v>
      </c>
      <c r="O28" s="5">
        <v>40</v>
      </c>
      <c r="P28" s="5">
        <v>20</v>
      </c>
      <c r="Q28" s="5">
        <v>20</v>
      </c>
      <c r="R28" s="5">
        <v>20</v>
      </c>
      <c r="S28" s="5">
        <v>0</v>
      </c>
      <c r="T28" s="5" t="s">
        <v>45</v>
      </c>
      <c r="U28" s="5" t="s">
        <v>45</v>
      </c>
      <c r="V28" s="5" t="s">
        <v>45</v>
      </c>
      <c r="W28" s="5">
        <f>SUM(Table2[[#This Row],[Premissa 1]:[Premissa 8]])</f>
        <v>100</v>
      </c>
      <c r="X28" s="5" t="s">
        <v>9</v>
      </c>
      <c r="Y28" t="s">
        <v>79</v>
      </c>
    </row>
    <row r="29" spans="1:25" ht="15" hidden="1" customHeight="1">
      <c r="A29" s="12">
        <v>5856156091</v>
      </c>
      <c r="B29" s="12" t="e">
        <f>_xlfn.XLOOKUP(Table2[[#This Row],[Ativo]],Joao!B:B,Joao!Z:Z)</f>
        <v>#N/A</v>
      </c>
      <c r="C29" s="5" t="str">
        <f>MID(Table2[[#This Row],[Ativo]],1,2)</f>
        <v>58</v>
      </c>
      <c r="D29" s="5" t="s">
        <v>74</v>
      </c>
      <c r="E29" s="5" t="s">
        <v>75</v>
      </c>
      <c r="F29" s="5" t="s">
        <v>76</v>
      </c>
      <c r="G29" s="4" t="str">
        <f>IFERROR(_xlfn.XLOOKUP(Table2[[#This Row],[Ativo]],Pendentes[COD_RELIGADOR],Pendentes[SS_ORIGINAL]),"CONCLUÍDA")</f>
        <v>ETO-RD-DP 00403/2026</v>
      </c>
      <c r="H29" s="5" t="s">
        <v>451</v>
      </c>
      <c r="I29" s="4" t="s">
        <v>706</v>
      </c>
      <c r="K29" s="4" t="s">
        <v>694</v>
      </c>
      <c r="L29" s="29" t="s">
        <v>462</v>
      </c>
      <c r="M29" s="31">
        <v>3</v>
      </c>
      <c r="N29" t="str">
        <f>IFERROR(_xlfn.XLOOKUP(Table2[[#This Row],[Ativo]],Pendentes[COD_RELIGADOR],Pendentes[DESCRICAO]),"")</f>
        <v>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v>
      </c>
      <c r="O29" s="5">
        <v>0</v>
      </c>
      <c r="P29" s="5">
        <v>0</v>
      </c>
      <c r="Q29" s="5">
        <v>0</v>
      </c>
      <c r="R29" s="5">
        <v>0</v>
      </c>
      <c r="S29" s="5">
        <v>0</v>
      </c>
      <c r="T29" s="5" t="s">
        <v>45</v>
      </c>
      <c r="U29" s="5" t="s">
        <v>45</v>
      </c>
      <c r="V29" s="5" t="s">
        <v>45</v>
      </c>
      <c r="W29" s="5">
        <f>SUM(Table2[[#This Row],[Premissa 1]:[Premissa 8]])</f>
        <v>0</v>
      </c>
      <c r="X29" s="5" t="s">
        <v>15</v>
      </c>
      <c r="Y29" t="s">
        <v>359</v>
      </c>
    </row>
    <row r="30" spans="1:25" ht="15" customHeight="1">
      <c r="A30" s="12">
        <v>5858783119</v>
      </c>
      <c r="B30" s="12" t="str">
        <f>_xlfn.XLOOKUP(Table2[[#This Row],[Ativo]],Joao!B:B,Joao!Z:Z)</f>
        <v>Redirecionado para atender 5854566043 e 5862236091</v>
      </c>
      <c r="C30" s="5" t="str">
        <f>MID(Table2[[#This Row],[Ativo]],1,2)</f>
        <v>58</v>
      </c>
      <c r="D30" s="5" t="s">
        <v>361</v>
      </c>
      <c r="E30" s="5" t="s">
        <v>223</v>
      </c>
      <c r="F30" s="5" t="s">
        <v>51</v>
      </c>
      <c r="G30" s="4" t="str">
        <f>IFERROR(_xlfn.XLOOKUP(Table2[[#This Row],[Ativo]],Pendentes[COD_RELIGADOR],Pendentes[SS_ORIGINAL]),"CONCLUÍDA")</f>
        <v>ETO-TELE 01032/2026</v>
      </c>
      <c r="H30" s="4" t="s">
        <v>576</v>
      </c>
      <c r="K30" s="4" t="s">
        <v>694</v>
      </c>
      <c r="L30" s="29"/>
      <c r="M30" s="31"/>
      <c r="N30" t="str">
        <f>IFERROR(_xlfn.XLOOKUP(Table2[[#This Row],[Ativo]],Pendentes[COD_RELIGADOR],Pendentes[DESCRICAO]),"")</f>
        <v>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v>
      </c>
      <c r="O30" s="5">
        <v>0</v>
      </c>
      <c r="P30" s="5">
        <v>0</v>
      </c>
      <c r="Q30" s="5">
        <v>0</v>
      </c>
      <c r="R30" s="5">
        <v>0</v>
      </c>
      <c r="S30" s="5">
        <v>0</v>
      </c>
      <c r="T30" s="5" t="s">
        <v>45</v>
      </c>
      <c r="U30" s="5" t="s">
        <v>45</v>
      </c>
      <c r="V30" s="5" t="s">
        <v>45</v>
      </c>
      <c r="W30" s="5">
        <f>SUM(Table2[[#This Row],[Premissa 1]:[Premissa 8]])</f>
        <v>0</v>
      </c>
      <c r="X30" s="5" t="s">
        <v>15</v>
      </c>
      <c r="Y30" t="s">
        <v>707</v>
      </c>
    </row>
    <row r="31" spans="1:25" ht="15" hidden="1" customHeight="1">
      <c r="A31" s="4">
        <v>5862236091</v>
      </c>
      <c r="B31" s="4" t="e">
        <f>_xlfn.XLOOKUP(Table2[[#This Row],[Ativo]],Joao!B:B,Joao!Z:Z)</f>
        <v>#N/A</v>
      </c>
      <c r="C31" s="5" t="str">
        <f>MID(Table2[[#This Row],[Ativo]],1,2)</f>
        <v>58</v>
      </c>
      <c r="D31" s="5" t="s">
        <v>74</v>
      </c>
      <c r="E31" s="5" t="s">
        <v>75</v>
      </c>
      <c r="F31" s="5" t="s">
        <v>76</v>
      </c>
      <c r="G31" s="4" t="str">
        <f>IFERROR(_xlfn.XLOOKUP(Table2[[#This Row],[Ativo]],Pendentes[COD_RELIGADOR],Pendentes[SS_ORIGINAL]),"CONCLUÍDA")</f>
        <v>ETO-RD-DP 00457/2026</v>
      </c>
      <c r="H31" s="5" t="s">
        <v>451</v>
      </c>
      <c r="I31" s="41"/>
      <c r="J31" s="41"/>
      <c r="K31" s="4" t="s">
        <v>694</v>
      </c>
      <c r="L31" s="29" t="s">
        <v>444</v>
      </c>
      <c r="M31" s="31">
        <v>1</v>
      </c>
      <c r="N31" t="str">
        <f>IFERROR(_xlfn.XLOOKUP(Table2[[#This Row],[Ativo]],Pendentes[COD_RELIGADOR],Pendentes[DESCRICAO]),"")</f>
        <v>20/07 PARECER COEP: EQUIPAMENTO ENTREGUE , FAVOR EDITAR A SS COM A DATA PREVISTA DE SUBSTITUIÇÃO NO PARECER DOS COCM´S Realizar substituição da FASE B.Célula da fase B estava com a tampa do contador de tape aberta, pegou chuva e molhou os contatos danificando a peça toda.</v>
      </c>
      <c r="O31" s="5">
        <v>0</v>
      </c>
      <c r="P31" s="5">
        <v>0</v>
      </c>
      <c r="Q31" s="5">
        <v>0</v>
      </c>
      <c r="R31" s="5">
        <v>20</v>
      </c>
      <c r="S31" s="5">
        <v>0</v>
      </c>
      <c r="T31" s="5" t="s">
        <v>45</v>
      </c>
      <c r="U31" s="5" t="s">
        <v>45</v>
      </c>
      <c r="V31" s="5" t="s">
        <v>45</v>
      </c>
      <c r="W31" s="5">
        <f>SUM(Table2[[#This Row],[Premissa 1]:[Premissa 8]])</f>
        <v>20</v>
      </c>
      <c r="X31" s="5" t="s">
        <v>15</v>
      </c>
      <c r="Y31" t="s">
        <v>343</v>
      </c>
    </row>
    <row r="32" spans="1:25" ht="15" hidden="1" customHeight="1">
      <c r="A32" s="4">
        <v>5865120195</v>
      </c>
      <c r="B32" s="4" t="e">
        <f>_xlfn.XLOOKUP(Table2[[#This Row],[Ativo]],Joao!B:B,Joao!Z:Z)</f>
        <v>#N/A</v>
      </c>
      <c r="C32" s="5" t="str">
        <f>MID(Table2[[#This Row],[Ativo]],1,2)</f>
        <v>58</v>
      </c>
      <c r="D32" s="5" t="s">
        <v>167</v>
      </c>
      <c r="E32" s="5" t="s">
        <v>50</v>
      </c>
      <c r="F32" s="5" t="s">
        <v>51</v>
      </c>
      <c r="G32" s="4" t="str">
        <f>IFERROR(_xlfn.XLOOKUP(Table2[[#This Row],[Ativo]],Pendentes[COD_RELIGADOR],Pendentes[SS_ORIGINAL]),"CONCLUÍDA")</f>
        <v>ETO-PROT 00144/2026</v>
      </c>
      <c r="H32" s="4" t="s">
        <v>471</v>
      </c>
      <c r="K32" s="4" t="s">
        <v>443</v>
      </c>
      <c r="L32" s="29" t="s">
        <v>497</v>
      </c>
      <c r="M32" s="31">
        <v>1</v>
      </c>
      <c r="N32" t="str">
        <f>IFERROR(_xlfn.XLOOKUP(Table2[[#This Row],[Ativo]],Pendentes[COD_RELIGADOR],Pendentes[DESCRICAO]),"")</f>
        <v>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PROTEÇÃO:FAVOR COMISSIONAR REGULADOR 5865120195 – LD Santa Maria Ramal Centenário e Recursolândia – 34,5kV. AJUSTE REALIZADO, DISPONÍVEL NO APP DA PROTEÇÃO.*********************** INSTALADO NA OBRA 0702400720 GENTILEZA, REALIZAR O COMISSIONAMENTO.LAUDO EM ANEXO.COORD EO: 889017, 901685708-07-2026 PARECER: FOI FEITO A MELHORIA NO REGULADOR CONFORME FOTOS EM ANEXO.</v>
      </c>
      <c r="O32" s="5">
        <v>20</v>
      </c>
      <c r="P32" s="5">
        <v>20</v>
      </c>
      <c r="Q32" s="5">
        <v>20</v>
      </c>
      <c r="R32" s="5">
        <v>10</v>
      </c>
      <c r="S32" s="5">
        <v>0</v>
      </c>
      <c r="T32" s="5" t="s">
        <v>45</v>
      </c>
      <c r="U32" s="5" t="s">
        <v>45</v>
      </c>
      <c r="V32" s="5" t="s">
        <v>45</v>
      </c>
      <c r="W32" s="5">
        <f>SUM(Table2[[#This Row],[Premissa 1]:[Premissa 8]])</f>
        <v>70</v>
      </c>
      <c r="X32" s="5" t="s">
        <v>13</v>
      </c>
      <c r="Y32" t="s">
        <v>170</v>
      </c>
    </row>
    <row r="33" spans="1:25" ht="15" hidden="1" customHeight="1">
      <c r="A33" s="4">
        <v>7900001096</v>
      </c>
      <c r="B33" s="4" t="e">
        <f>_xlfn.XLOOKUP(Table2[[#This Row],[Ativo]],Joao!B:B,Joao!Z:Z)</f>
        <v>#N/A</v>
      </c>
      <c r="C33" s="5" t="str">
        <f>MID(Table2[[#This Row],[Ativo]],1,2)</f>
        <v>79</v>
      </c>
      <c r="G33" s="4" t="str">
        <f>IFERROR(_xlfn.XLOOKUP(Table2[[#This Row],[Ativo]],Pendentes[COD_RELIGADOR],Pendentes[SS_ORIGINAL]),"CONCLUÍDA")</f>
        <v>ETO-TELE 01018/2026</v>
      </c>
      <c r="H33" s="4" t="s">
        <v>698</v>
      </c>
      <c r="L33" s="29"/>
      <c r="M33" s="31"/>
      <c r="N33" t="str">
        <f>IFERROR(_xlfn.XLOOKUP(Table2[[#This Row],[Ativo]],Pendentes[COD_RELIGADOR],Pendentes[DESCRICAO]),"")</f>
        <v>Segue nota para falha de comunicação no religador 7900001096 - Rural - Pindorama .Equipamento perdeu a comunicação quando faltou CA , porém mesmo ao retorna o CA não retornou a comunicação !Feito primeiro ataque sem sucesso !</v>
      </c>
      <c r="O33" s="5"/>
      <c r="P33" s="5"/>
      <c r="Q33" s="5"/>
      <c r="R33" s="5"/>
      <c r="S33" s="5"/>
      <c r="T33" s="5"/>
      <c r="U33" s="5"/>
      <c r="V33" s="5"/>
      <c r="W33" s="5">
        <f>SUM(Table2[[#This Row],[Premissa 1]:[Premissa 8]])</f>
        <v>0</v>
      </c>
      <c r="X33" s="5"/>
    </row>
    <row r="34" spans="1:25" ht="15" customHeight="1">
      <c r="A34" s="4">
        <v>7900018004</v>
      </c>
      <c r="B34" s="4" t="str">
        <f>_xlfn.XLOOKUP(Table2[[#This Row],[Ativo]],Joao!B:B,Joao!Z:Z)</f>
        <v>Concluido</v>
      </c>
      <c r="C34" s="5" t="str">
        <f>MID(Table2[[#This Row],[Ativo]],1,2)</f>
        <v>79</v>
      </c>
      <c r="D34" s="5" t="s">
        <v>57</v>
      </c>
      <c r="E34" s="5" t="s">
        <v>57</v>
      </c>
      <c r="F34" s="5" t="s">
        <v>51</v>
      </c>
      <c r="G34" s="4" t="str">
        <f>IFERROR(_xlfn.XLOOKUP(Table2[[#This Row],[Ativo]],Pendentes[COD_RELIGADOR],Pendentes[SS_ORIGINAL]),"CONCLUÍDA")</f>
        <v>CONCLUÍDA</v>
      </c>
      <c r="H34" s="4" t="s">
        <v>455</v>
      </c>
      <c r="I34" s="4" t="s">
        <v>708</v>
      </c>
      <c r="K34" s="4" t="s">
        <v>438</v>
      </c>
      <c r="L34" s="29"/>
      <c r="M34" s="31"/>
      <c r="N34" t="str">
        <f>IFERROR(_xlfn.XLOOKUP(Table2[[#This Row],[Ativo]],Pendentes[COD_RELIGADOR],Pendentes[DESCRICAO]),"")</f>
        <v/>
      </c>
      <c r="O34" s="5">
        <v>15</v>
      </c>
      <c r="P34" s="5">
        <v>10</v>
      </c>
      <c r="Q34" s="5">
        <v>5</v>
      </c>
      <c r="R34" s="5">
        <v>15</v>
      </c>
      <c r="S34" s="5">
        <v>0</v>
      </c>
      <c r="T34" s="5">
        <v>10</v>
      </c>
      <c r="U34" s="5">
        <v>0</v>
      </c>
      <c r="V34" s="5">
        <v>0</v>
      </c>
      <c r="W34" s="5">
        <f>SUM(Table2[[#This Row],[Premissa 1]:[Premissa 8]])</f>
        <v>55</v>
      </c>
      <c r="X34" s="5" t="s">
        <v>13</v>
      </c>
      <c r="Y34" t="s">
        <v>511</v>
      </c>
    </row>
    <row r="35" spans="1:25" ht="15" customHeight="1">
      <c r="A35" s="4">
        <v>7900117013</v>
      </c>
      <c r="B35" s="4" t="str">
        <f>_xlfn.XLOOKUP(Table2[[#This Row],[Ativo]],Joao!B:B,Joao!Z:Z)</f>
        <v>Calendário logistco vai sair hoje 29/05/2026, assim que tiver rota de entrga avisamos</v>
      </c>
      <c r="C35" s="5" t="str">
        <f>MID(Table2[[#This Row],[Ativo]],1,2)</f>
        <v>79</v>
      </c>
      <c r="D35" s="5" t="s">
        <v>97</v>
      </c>
      <c r="E35" s="5" t="s">
        <v>97</v>
      </c>
      <c r="F35" s="5" t="s">
        <v>42</v>
      </c>
      <c r="G35" s="4" t="str">
        <f>IFERROR(_xlfn.XLOOKUP(Table2[[#This Row],[Ativo]],Pendentes[COD_RELIGADOR],Pendentes[SS_ORIGINAL]),"CONCLUÍDA")</f>
        <v>ETO-PROT 00154/2026</v>
      </c>
      <c r="H35" s="4" t="s">
        <v>471</v>
      </c>
      <c r="K35" s="4" t="s">
        <v>443</v>
      </c>
      <c r="L35" s="29" t="s">
        <v>460</v>
      </c>
      <c r="M35" s="31">
        <v>1</v>
      </c>
      <c r="N35" t="str">
        <f>IFERROR(_xlfn.XLOOKUP(Table2[[#This Row],[Ativo]],Pendentes[COD_RELIGADOR],Pendentes[DESCRICAO]),"")</f>
        <v>15/07 PARECER COCM: EQUIPAMENTO FOI SUBSTITUÍDO OBRA 021260042210/07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v>
      </c>
      <c r="O35" s="5">
        <v>15</v>
      </c>
      <c r="P35" s="5">
        <v>20</v>
      </c>
      <c r="Q35" s="5">
        <v>15</v>
      </c>
      <c r="R35" s="5">
        <v>15</v>
      </c>
      <c r="S35" s="5">
        <v>15</v>
      </c>
      <c r="T35" s="5">
        <v>0</v>
      </c>
      <c r="U35" s="5">
        <v>0</v>
      </c>
      <c r="V35" s="5">
        <v>15</v>
      </c>
      <c r="W35" s="5">
        <f>SUM(Table2[[#This Row],[Premissa 1]:[Premissa 8]])</f>
        <v>95</v>
      </c>
      <c r="X35" s="5" t="s">
        <v>9</v>
      </c>
      <c r="Y35" t="s">
        <v>100</v>
      </c>
    </row>
    <row r="36" spans="1:25" ht="15" customHeight="1">
      <c r="A36" s="4">
        <v>7900230155</v>
      </c>
      <c r="B36" s="4" t="str">
        <f>_xlfn.XLOOKUP(Table2[[#This Row],[Ativo]],Joao!B:B,Joao!Z:Z)</f>
        <v>Concluido</v>
      </c>
      <c r="C36" s="5" t="str">
        <f>MID(Table2[[#This Row],[Ativo]],1,2)</f>
        <v>79</v>
      </c>
      <c r="D36" s="5" t="s">
        <v>153</v>
      </c>
      <c r="E36" s="5" t="s">
        <v>154</v>
      </c>
      <c r="F36" s="5" t="s">
        <v>51</v>
      </c>
      <c r="G36" s="4" t="str">
        <f>IFERROR(_xlfn.XLOOKUP(Table2[[#This Row],[Ativo]],Pendentes[COD_RELIGADOR],Pendentes[SS_ORIGINAL]),"CONCLUÍDA")</f>
        <v>ETO-PROT 00143/2026</v>
      </c>
      <c r="H36" s="4" t="s">
        <v>471</v>
      </c>
      <c r="I36" s="4" t="s">
        <v>709</v>
      </c>
      <c r="K36" s="4" t="s">
        <v>443</v>
      </c>
      <c r="L36" s="29" t="s">
        <v>489</v>
      </c>
      <c r="M36" s="31">
        <v>1</v>
      </c>
      <c r="N36" t="str">
        <f>IFERROR(_xlfn.XLOOKUP(Table2[[#This Row],[Ativo]],Pendentes[COD_RELIGADOR],Pendentes[DESCRICAO]),"")</f>
        <v>07/07/2026 PARECER COEP: MATERIAL ENVIADO , CONFORME ALINHANDO COM O WANDER REALIZAR SUBSTIUIÇÂO DO EQUIPAMENTO, FAVOR ESCREVER PARECER COCM ANTES DE PASSAR PARA PROTEÇÂO, DO QUE FOI REALIZADO01/07/2026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pendencias.Senhores Favor verificar RL 7900230155  o mesmo sinalizou aberto  no SCADA porem a cidade de Palmeirante estava normal , feito um reset no rl e o mesmo subiu fechado.08/07/2026 PARECER DCMD: EQUIPE ETO-LVGR01  DE GUARAI ESTEVE NO RL 7900230155 DIA 25-06-2026 E FEZ TODAS A PENDENCIAS DO RL, OBS: EQUIPE SO NAO CONECTOU O CABO DO TRAFO NO RL. RL ESTA PRONTO PARA O COMISSIONAMENTO</v>
      </c>
      <c r="O36" s="5">
        <v>15</v>
      </c>
      <c r="P36" s="5">
        <v>20</v>
      </c>
      <c r="Q36" s="5">
        <v>5</v>
      </c>
      <c r="R36" s="5">
        <v>15</v>
      </c>
      <c r="S36" s="5">
        <v>0</v>
      </c>
      <c r="T36" s="5">
        <v>10</v>
      </c>
      <c r="U36" s="5">
        <v>0</v>
      </c>
      <c r="V36" s="5">
        <v>15</v>
      </c>
      <c r="W36" s="5">
        <f>SUM(Table2[[#This Row],[Premissa 1]:[Premissa 8]])</f>
        <v>80</v>
      </c>
      <c r="X36" s="5" t="s">
        <v>9</v>
      </c>
      <c r="Y36" t="s">
        <v>157</v>
      </c>
    </row>
    <row r="37" spans="1:25" ht="15" hidden="1" customHeight="1">
      <c r="A37" s="4">
        <v>7900259096</v>
      </c>
      <c r="B37" s="4" t="e">
        <f>_xlfn.XLOOKUP(Table2[[#This Row],[Ativo]],Joao!B:B,Joao!Z:Z)</f>
        <v>#N/A</v>
      </c>
      <c r="C37" s="5" t="str">
        <f>MID(Table2[[#This Row],[Ativo]],1,2)</f>
        <v>79</v>
      </c>
      <c r="G37" s="4" t="str">
        <f>IFERROR(_xlfn.XLOOKUP(Table2[[#This Row],[Ativo]],Pendentes[COD_RELIGADOR],Pendentes[SS_ORIGINAL]),"CONCLUÍDA")</f>
        <v>ETO-TELE 01021/2026</v>
      </c>
      <c r="H37" s="4" t="s">
        <v>698</v>
      </c>
      <c r="L37" s="29"/>
      <c r="M37" s="31"/>
      <c r="N37" t="str">
        <f>IFERROR(_xlfn.XLOOKUP(Table2[[#This Row],[Ativo]],Pendentes[COD_RELIGADOR],Pendentes[DESCRICAO]),"")</f>
        <v>Boa noite .Segue nota para verificar falha de comunicação no religador 7900259096 -  Pindorama .Equipamento perde a comunicação quando falta CA !</v>
      </c>
      <c r="O37" s="5"/>
      <c r="P37" s="5"/>
      <c r="Q37" s="5"/>
      <c r="R37" s="5"/>
      <c r="S37" s="5"/>
      <c r="T37" s="5"/>
      <c r="U37" s="5"/>
      <c r="V37" s="5"/>
      <c r="W37" s="5">
        <f>SUM(Table2[[#This Row],[Premissa 1]:[Premissa 8]])</f>
        <v>0</v>
      </c>
      <c r="X37" s="5"/>
    </row>
    <row r="38" spans="1:25" ht="15" hidden="1" customHeight="1">
      <c r="A38" s="4">
        <v>7900451096</v>
      </c>
      <c r="B38" s="4" t="e">
        <f>_xlfn.XLOOKUP(Table2[[#This Row],[Ativo]],Joao!B:B,Joao!Z:Z)</f>
        <v>#N/A</v>
      </c>
      <c r="C38" s="5" t="str">
        <f>MID(Table2[[#This Row],[Ativo]],1,2)</f>
        <v>79</v>
      </c>
      <c r="G38" s="4" t="str">
        <f>IFERROR(_xlfn.XLOOKUP(Table2[[#This Row],[Ativo]],Pendentes[COD_RELIGADOR],Pendentes[SS_ORIGINAL]),"CONCLUÍDA")</f>
        <v>ETO-TELE 01020/2026</v>
      </c>
      <c r="H38" s="4" t="s">
        <v>698</v>
      </c>
      <c r="L38" s="29"/>
      <c r="M38" s="31"/>
      <c r="N38" t="str">
        <f>IFERROR(_xlfn.XLOOKUP(Table2[[#This Row],[Ativo]],Pendentes[COD_RELIGADOR],Pendentes[DESCRICAO]),"")</f>
        <v>Segue nota para verificar falha de comunicação no religador 7900451096 - Rural -  Pindorama  .Equipamento perde a comunicação quando falta CA !</v>
      </c>
      <c r="O38" s="5"/>
      <c r="P38" s="5"/>
      <c r="Q38" s="5"/>
      <c r="R38" s="5"/>
      <c r="S38" s="5"/>
      <c r="T38" s="5"/>
      <c r="U38" s="5"/>
      <c r="V38" s="5"/>
      <c r="W38" s="5">
        <f>SUM(Table2[[#This Row],[Premissa 1]:[Premissa 8]])</f>
        <v>0</v>
      </c>
      <c r="X38" s="5"/>
    </row>
    <row r="39" spans="1:25" ht="15" customHeight="1">
      <c r="A39" s="12">
        <v>7900453110</v>
      </c>
      <c r="B39" s="12" t="str">
        <f>_xlfn.XLOOKUP(Table2[[#This Row],[Ativo]],Joao!B:B,Joao!Z:Z)</f>
        <v>Equipamento entregue, redirecionaremos para o Caso 7933726256</v>
      </c>
      <c r="C39" s="5" t="str">
        <f>MID(Table2[[#This Row],[Ativo]],1,2)</f>
        <v>79</v>
      </c>
      <c r="D39" s="5" t="s">
        <v>137</v>
      </c>
      <c r="E39" s="5" t="s">
        <v>41</v>
      </c>
      <c r="F39" s="5" t="s">
        <v>42</v>
      </c>
      <c r="G39" s="4" t="str">
        <f>IFERROR(_xlfn.XLOOKUP(Table2[[#This Row],[Ativo]],Pendentes[COD_RELIGADOR],Pendentes[SS_ORIGINAL]),"CONCLUÍDA")</f>
        <v>ETO-COEP 00087/2026</v>
      </c>
      <c r="H39" s="4" t="s">
        <v>451</v>
      </c>
      <c r="I39" s="4" t="s">
        <v>710</v>
      </c>
      <c r="K39" s="4" t="s">
        <v>694</v>
      </c>
      <c r="L39" s="29" t="s">
        <v>480</v>
      </c>
      <c r="M39" s="31">
        <v>1</v>
      </c>
      <c r="N39" t="str">
        <f>IFERROR(_xlfn.XLOOKUP(Table2[[#This Row],[Ativo]],Pendentes[COD_RELIGADOR],Pendentes[DESCRICAO]),"")</f>
        <v>10/07/2026 EQUIPAMENTO SELECIONADO PARA COMPRA PARTE ATIVA30/06.PARECER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v>
      </c>
      <c r="O39" s="5">
        <v>15</v>
      </c>
      <c r="P39" s="5">
        <v>10</v>
      </c>
      <c r="Q39" s="5">
        <v>5</v>
      </c>
      <c r="R39" s="5">
        <v>15</v>
      </c>
      <c r="S39" s="5">
        <v>15</v>
      </c>
      <c r="T39" s="5">
        <v>10</v>
      </c>
      <c r="U39" s="5">
        <v>0</v>
      </c>
      <c r="V39" s="5">
        <v>15</v>
      </c>
      <c r="W39" s="5">
        <f>SUM(Table2[[#This Row],[Premissa 1]:[Premissa 8]])</f>
        <v>85</v>
      </c>
      <c r="X39" s="5" t="s">
        <v>9</v>
      </c>
      <c r="Y39" t="s">
        <v>140</v>
      </c>
    </row>
    <row r="40" spans="1:25" ht="15" hidden="1" customHeight="1">
      <c r="A40" s="4">
        <v>7900505026</v>
      </c>
      <c r="B40" s="4" t="e">
        <f>_xlfn.XLOOKUP(Table2[[#This Row],[Ativo]],Joao!B:B,Joao!Z:Z)</f>
        <v>#N/A</v>
      </c>
      <c r="C40" s="5" t="str">
        <f>MID(Table2[[#This Row],[Ativo]],1,2)</f>
        <v>79</v>
      </c>
      <c r="D40" s="5" t="s">
        <v>108</v>
      </c>
      <c r="E40" s="5" t="s">
        <v>108</v>
      </c>
      <c r="F40" s="5" t="s">
        <v>42</v>
      </c>
      <c r="G40" s="4" t="str">
        <f>IFERROR(_xlfn.XLOOKUP(Table2[[#This Row],[Ativo]],Pendentes[COD_RELIGADOR],Pendentes[SS_ORIGINAL]),"CONCLUÍDA")</f>
        <v>CONCLUÍDA</v>
      </c>
      <c r="H40" s="4" t="s">
        <v>683</v>
      </c>
      <c r="K40" s="4" t="s">
        <v>438</v>
      </c>
      <c r="L40" s="29"/>
      <c r="M40" s="31"/>
      <c r="N40" t="str">
        <f>IFERROR(_xlfn.XLOOKUP(Table2[[#This Row],[Ativo]],Pendentes[COD_RELIGADOR],Pendentes[DESCRICAO]),"")</f>
        <v/>
      </c>
      <c r="O40" s="5">
        <v>5</v>
      </c>
      <c r="P40" s="5">
        <v>5</v>
      </c>
      <c r="Q40" s="5">
        <v>5</v>
      </c>
      <c r="R40" s="5">
        <v>0</v>
      </c>
      <c r="S40" s="5">
        <v>0</v>
      </c>
      <c r="T40" s="5">
        <v>0</v>
      </c>
      <c r="U40" s="5">
        <v>10</v>
      </c>
      <c r="V40" s="5">
        <v>0</v>
      </c>
      <c r="W40" s="5">
        <f>SUM(Table2[[#This Row],[Premissa 1]:[Premissa 8]])</f>
        <v>25</v>
      </c>
      <c r="X40" s="5" t="s">
        <v>15</v>
      </c>
      <c r="Y40" t="s">
        <v>539</v>
      </c>
    </row>
    <row r="41" spans="1:25" ht="15" hidden="1" customHeight="1">
      <c r="A41" s="4">
        <v>7900525015</v>
      </c>
      <c r="B41" s="4" t="e">
        <f>_xlfn.XLOOKUP(Table2[[#This Row],[Ativo]],Joao!B:B,Joao!Z:Z)</f>
        <v>#N/A</v>
      </c>
      <c r="C41" s="5" t="str">
        <f>MID(Table2[[#This Row],[Ativo]],1,2)</f>
        <v>79</v>
      </c>
      <c r="D41" s="5" t="s">
        <v>283</v>
      </c>
      <c r="E41" s="5" t="s">
        <v>50</v>
      </c>
      <c r="F41" s="5" t="s">
        <v>51</v>
      </c>
      <c r="G41" s="4" t="str">
        <f>IFERROR(_xlfn.XLOOKUP(Table2[[#This Row],[Ativo]],Pendentes[COD_RELIGADOR],Pendentes[SS_ORIGINAL]),"CONCLUÍDA")</f>
        <v>ETO-COEP 00125/2026</v>
      </c>
      <c r="H41" s="4" t="s">
        <v>451</v>
      </c>
      <c r="K41" s="4" t="s">
        <v>694</v>
      </c>
      <c r="L41" s="29" t="s">
        <v>480</v>
      </c>
      <c r="M41" s="31">
        <v>1</v>
      </c>
      <c r="N41" t="str">
        <f>IFERROR(_xlfn.XLOOKUP(Table2[[#This Row],[Ativo]],Pendentes[COD_RELIGADOR],Pendentes[DESCRICAO]),"")</f>
        <v>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v>
      </c>
      <c r="O41" s="5">
        <v>5</v>
      </c>
      <c r="P41" s="5">
        <v>5</v>
      </c>
      <c r="Q41" s="5">
        <v>0</v>
      </c>
      <c r="R41" s="5">
        <v>0</v>
      </c>
      <c r="S41" s="5">
        <v>15</v>
      </c>
      <c r="T41" s="5">
        <v>10</v>
      </c>
      <c r="U41" s="5">
        <v>0</v>
      </c>
      <c r="V41" s="5">
        <v>0</v>
      </c>
      <c r="W41" s="5">
        <f>SUM(Table2[[#This Row],[Premissa 1]:[Premissa 8]])</f>
        <v>35</v>
      </c>
      <c r="X41" s="5" t="s">
        <v>14</v>
      </c>
      <c r="Y41" t="s">
        <v>289</v>
      </c>
    </row>
    <row r="42" spans="1:25" ht="15" hidden="1" customHeight="1">
      <c r="A42" s="12">
        <v>7900532053</v>
      </c>
      <c r="B42" s="12" t="e">
        <f>_xlfn.XLOOKUP(Table2[[#This Row],[Ativo]],Joao!B:B,Joao!Z:Z)</f>
        <v>#N/A</v>
      </c>
      <c r="C42" s="43" t="str">
        <f>MID(Table2[[#This Row],[Ativo]],1,2)</f>
        <v>79</v>
      </c>
      <c r="D42" s="43" t="s">
        <v>560</v>
      </c>
      <c r="E42" s="43" t="s">
        <v>223</v>
      </c>
      <c r="F42" s="43" t="s">
        <v>51</v>
      </c>
      <c r="G42" s="12" t="str">
        <f>IFERROR(_xlfn.XLOOKUP(Table2[[#This Row],[Ativo]],Pendentes[COD_RELIGADOR],Pendentes[SS_ORIGINAL]),"CONCLUÍDA")</f>
        <v>CONCLUÍDA</v>
      </c>
      <c r="H42" s="12" t="s">
        <v>561</v>
      </c>
      <c r="I42" s="12"/>
      <c r="J42" s="12"/>
      <c r="K42" s="12"/>
      <c r="L42" s="44" t="s">
        <v>453</v>
      </c>
      <c r="M42" s="45"/>
      <c r="N42" s="46" t="str">
        <f>IFERROR(_xlfn.XLOOKUP(Table2[[#This Row],[Ativo]],Pendentes[COD_RELIGADOR],Pendentes[DESCRICAO]),"")</f>
        <v/>
      </c>
      <c r="O42" s="43">
        <v>0</v>
      </c>
      <c r="P42" s="43">
        <v>0</v>
      </c>
      <c r="Q42" s="43">
        <v>0</v>
      </c>
      <c r="R42" s="43">
        <v>0</v>
      </c>
      <c r="S42" s="43">
        <v>0</v>
      </c>
      <c r="T42" s="43">
        <v>0</v>
      </c>
      <c r="U42" s="43">
        <v>0</v>
      </c>
      <c r="V42" s="43">
        <v>0</v>
      </c>
      <c r="W42" s="43">
        <f>SUM(Table2[[#This Row],[Premissa 1]:[Premissa 8]])</f>
        <v>0</v>
      </c>
      <c r="X42" s="43" t="s">
        <v>15</v>
      </c>
      <c r="Y42" s="46" t="s">
        <v>562</v>
      </c>
    </row>
    <row r="43" spans="1:25" ht="15" hidden="1" customHeight="1">
      <c r="A43" s="4">
        <v>7900535058</v>
      </c>
      <c r="B43" s="4" t="e">
        <f>_xlfn.XLOOKUP(Table2[[#This Row],[Ativo]],Joao!B:B,Joao!Z:Z)</f>
        <v>#N/A</v>
      </c>
      <c r="C43" s="5" t="str">
        <f>MID(Table2[[#This Row],[Ativo]],1,2)</f>
        <v>79</v>
      </c>
      <c r="D43" s="5" t="s">
        <v>248</v>
      </c>
      <c r="E43" s="5" t="s">
        <v>57</v>
      </c>
      <c r="F43" s="5" t="s">
        <v>51</v>
      </c>
      <c r="G43" s="4" t="str">
        <f>IFERROR(_xlfn.XLOOKUP(Table2[[#This Row],[Ativo]],Pendentes[COD_RELIGADOR],Pendentes[SS_ORIGINAL]),"CONCLUÍDA")</f>
        <v>ETO-COEP 00173/2025</v>
      </c>
      <c r="H43" s="11" t="s">
        <v>451</v>
      </c>
      <c r="I43" s="9"/>
      <c r="J43" s="9"/>
      <c r="K43" s="4" t="s">
        <v>694</v>
      </c>
      <c r="L43" s="29" t="s">
        <v>460</v>
      </c>
      <c r="M43" s="31">
        <v>1</v>
      </c>
      <c r="N43" t="str">
        <f>IFERROR(_xlfn.XLOOKUP(Table2[[#This Row],[Ativo]],Pendentes[COD_RELIGADOR],Pendentes[DESCRICAO]),"")</f>
        <v>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v>
      </c>
      <c r="O43" s="5">
        <v>5</v>
      </c>
      <c r="P43" s="5">
        <v>10</v>
      </c>
      <c r="Q43" s="5">
        <v>5</v>
      </c>
      <c r="R43" s="5">
        <v>0</v>
      </c>
      <c r="S43" s="5">
        <v>15</v>
      </c>
      <c r="T43" s="5">
        <v>10</v>
      </c>
      <c r="U43" s="5">
        <v>0</v>
      </c>
      <c r="V43" s="5">
        <v>0</v>
      </c>
      <c r="W43" s="5">
        <f>SUM(Table2[[#This Row],[Premissa 1]:[Premissa 8]])</f>
        <v>45</v>
      </c>
      <c r="X43" s="5" t="s">
        <v>14</v>
      </c>
      <c r="Y43" t="s">
        <v>251</v>
      </c>
    </row>
    <row r="44" spans="1:25" ht="15" hidden="1" customHeight="1">
      <c r="A44" s="4">
        <v>7900543083</v>
      </c>
      <c r="B44" s="4" t="e">
        <f>_xlfn.XLOOKUP(Table2[[#This Row],[Ativo]],Joao!B:B,Joao!Z:Z)</f>
        <v>#N/A</v>
      </c>
      <c r="C44" s="5" t="str">
        <f>MID(Table2[[#This Row],[Ativo]],1,2)</f>
        <v>79</v>
      </c>
      <c r="D44" s="5" t="s">
        <v>490</v>
      </c>
      <c r="E44" s="5" t="s">
        <v>62</v>
      </c>
      <c r="F44" s="5" t="s">
        <v>42</v>
      </c>
      <c r="G44" s="49"/>
      <c r="H44" s="4" t="s">
        <v>683</v>
      </c>
      <c r="K44" s="4" t="s">
        <v>438</v>
      </c>
      <c r="L44" s="29"/>
      <c r="M44" s="31"/>
      <c r="N44" t="str">
        <f>IFERROR(_xlfn.XLOOKUP(Table2[[#This Row],[Ativo]],Pendentes[COD_RELIGADOR],Pendentes[DESCRICAO]),"")</f>
        <v/>
      </c>
      <c r="O44" s="5">
        <v>15</v>
      </c>
      <c r="P44" s="5">
        <v>20</v>
      </c>
      <c r="Q44" s="5">
        <v>5</v>
      </c>
      <c r="R44" s="5">
        <v>15</v>
      </c>
      <c r="S44" s="5">
        <v>0</v>
      </c>
      <c r="T44" s="5">
        <v>0</v>
      </c>
      <c r="U44" s="5">
        <v>10</v>
      </c>
      <c r="V44" s="5">
        <v>15</v>
      </c>
      <c r="W44" s="5">
        <f>SUM(Table2[[#This Row],[Premissa 1]:[Premissa 8]])</f>
        <v>80</v>
      </c>
      <c r="X44" s="5" t="s">
        <v>9</v>
      </c>
      <c r="Y44" t="s">
        <v>491</v>
      </c>
    </row>
    <row r="45" spans="1:25" ht="15" customHeight="1">
      <c r="A45" s="4">
        <v>7900573047</v>
      </c>
      <c r="B45" s="4" t="str">
        <f>_xlfn.XLOOKUP(Table2[[#This Row],[Ativo]],Joao!B:B,Joao!Z:Z)</f>
        <v>ATRASO COCM´S</v>
      </c>
      <c r="C45" s="5" t="str">
        <f>MID(Table2[[#This Row],[Ativo]],1,2)</f>
        <v>79</v>
      </c>
      <c r="D45" s="5" t="s">
        <v>191</v>
      </c>
      <c r="E45" s="5" t="s">
        <v>449</v>
      </c>
      <c r="F45" s="5" t="s">
        <v>76</v>
      </c>
      <c r="G45" s="4" t="str">
        <f>IFERROR(_xlfn.XLOOKUP(Table2[[#This Row],[Ativo]],Pendentes[COD_RELIGADOR],Pendentes[SS_ORIGINAL]),"CONCLUÍDA")</f>
        <v>ETO-PROT 00153/2026</v>
      </c>
      <c r="H45" s="4" t="s">
        <v>471</v>
      </c>
      <c r="I45" s="38"/>
      <c r="J45" s="38"/>
      <c r="K45" s="4" t="s">
        <v>443</v>
      </c>
      <c r="L45" s="29" t="s">
        <v>469</v>
      </c>
      <c r="M45" s="31">
        <v>1</v>
      </c>
      <c r="N45" t="str">
        <f>IFERROR(_xlfn.XLOOKUP(Table2[[#This Row],[Ativo]],Pendentes[COD_RELIGADOR],Pendentes[DESCRICAO]),"")</f>
        <v>10/07 PARECER COEP: EQUIPAMENTO ENTREGUE AOS COCM´S FAVOR INFORMAR PRAZO DE SUBSTUIÇÃO PARA O DMSL E REPASSAR DEPOIS PARA PROTEÇÃO REALIZAR OS AJUSTES E DESCREVER NA SS O SERVIÇO REALIZADOPARECER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v>
      </c>
      <c r="O45" s="5">
        <v>5</v>
      </c>
      <c r="P45" s="5">
        <v>5</v>
      </c>
      <c r="Q45" s="5">
        <v>15</v>
      </c>
      <c r="R45" s="5">
        <v>0</v>
      </c>
      <c r="S45" s="5">
        <v>15</v>
      </c>
      <c r="T45" s="5">
        <v>10</v>
      </c>
      <c r="U45" s="5">
        <v>0</v>
      </c>
      <c r="V45" s="5">
        <v>15</v>
      </c>
      <c r="W45" s="5">
        <f>SUM(Table2[[#This Row],[Premissa 1]:[Premissa 8]])</f>
        <v>65</v>
      </c>
      <c r="X45" s="5" t="s">
        <v>13</v>
      </c>
      <c r="Y45" t="s">
        <v>195</v>
      </c>
    </row>
    <row r="46" spans="1:25" ht="15" customHeight="1">
      <c r="A46" s="4">
        <v>7900594026</v>
      </c>
      <c r="B46" s="4" t="str">
        <f>_xlfn.XLOOKUP(Table2[[#This Row],[Ativo]],Joao!B:B,Joao!Z:Z)</f>
        <v>Deslocamento  da ASPO Alinhado com o Allan de Guaraí para Pedro Afonso</v>
      </c>
      <c r="C46" s="5" t="str">
        <f>MID(Table2[[#This Row],[Ativo]],1,2)</f>
        <v>79</v>
      </c>
      <c r="D46" s="5" t="s">
        <v>108</v>
      </c>
      <c r="E46" s="5" t="s">
        <v>108</v>
      </c>
      <c r="F46" s="5" t="s">
        <v>42</v>
      </c>
      <c r="G46" s="4" t="str">
        <f>IFERROR(_xlfn.XLOOKUP(Table2[[#This Row],[Ativo]],Pendentes[COD_RELIGADOR],Pendentes[SS_ORIGINAL]),"CONCLUÍDA")</f>
        <v>ETO-SE-PA 00107/2026</v>
      </c>
      <c r="H46" s="4" t="s">
        <v>482</v>
      </c>
      <c r="K46" s="4" t="s">
        <v>443</v>
      </c>
      <c r="L46" s="29" t="s">
        <v>469</v>
      </c>
      <c r="M46" s="31">
        <v>1</v>
      </c>
      <c r="N46" t="str">
        <f>IFERROR(_xlfn.XLOOKUP(Table2[[#This Row],[Ativo]],Pendentes[COD_RELIGADOR],Pendentes[DESCRICAO]),"")</f>
        <v>PARECER DA PROTEÇÃO:16/07/2026 AJUSTES DISPONIBILIZADOS NO APP DA PROTEÇÃO15/07/2026 EQUIPAMENTO SUBSTITUIDO NA OS ETO-RD-PO 1860 OBRA 031260035414/07/2026 PARECER COCM/ COEP: DE ACORDO COM O EDSON CURCINO FOI FEITA S SUBSTITUIÇÃO DO EQUIPAMENTO , SEGUE PARA PROTEÇÃO ELABORAR AJUSTE10/07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v>
      </c>
      <c r="O46" s="5">
        <v>15</v>
      </c>
      <c r="P46" s="5">
        <v>20</v>
      </c>
      <c r="Q46" s="5">
        <v>15</v>
      </c>
      <c r="R46" s="5">
        <v>15</v>
      </c>
      <c r="S46" s="5">
        <v>15</v>
      </c>
      <c r="T46" s="5">
        <v>0</v>
      </c>
      <c r="U46" s="5">
        <v>0</v>
      </c>
      <c r="V46" s="5">
        <v>15</v>
      </c>
      <c r="W46" s="5">
        <f>SUM(Table2[[#This Row],[Premissa 1]:[Premissa 8]])</f>
        <v>95</v>
      </c>
      <c r="X46" s="5" t="s">
        <v>9</v>
      </c>
      <c r="Y46" t="s">
        <v>119</v>
      </c>
    </row>
    <row r="47" spans="1:25" ht="15" hidden="1" customHeight="1">
      <c r="A47" s="4">
        <v>7900648055</v>
      </c>
      <c r="B47" s="4" t="e">
        <f>_xlfn.XLOOKUP(Table2[[#This Row],[Ativo]],Joao!B:B,Joao!Z:Z)</f>
        <v>#N/A</v>
      </c>
      <c r="C47" s="5" t="str">
        <f>MID(Table2[[#This Row],[Ativo]],1,2)</f>
        <v>79</v>
      </c>
      <c r="D47" s="5" t="s">
        <v>458</v>
      </c>
      <c r="E47" s="5" t="s">
        <v>210</v>
      </c>
      <c r="F47" s="5" t="s">
        <v>42</v>
      </c>
      <c r="G47" s="4" t="str">
        <f>IFERROR(_xlfn.XLOOKUP(Table2[[#This Row],[Ativo]],Pendentes[COD_RELIGADOR],Pendentes[SS_ORIGINAL]),"CONCLUÍDA")</f>
        <v>CONCLUÍDA</v>
      </c>
      <c r="H47" s="4" t="s">
        <v>683</v>
      </c>
      <c r="K47" s="4" t="s">
        <v>438</v>
      </c>
      <c r="L47" s="29"/>
      <c r="M47" s="31"/>
      <c r="N47" t="str">
        <f>IFERROR(_xlfn.XLOOKUP(Table2[[#This Row],[Ativo]],Pendentes[COD_RELIGADOR],Pendentes[DESCRICAO]),"")</f>
        <v/>
      </c>
      <c r="O47" s="5">
        <v>15</v>
      </c>
      <c r="P47" s="5">
        <v>20</v>
      </c>
      <c r="Q47" s="5">
        <v>15</v>
      </c>
      <c r="R47" s="5">
        <v>15</v>
      </c>
      <c r="S47" s="5">
        <v>15</v>
      </c>
      <c r="T47" s="5">
        <v>10</v>
      </c>
      <c r="U47" s="5">
        <v>0</v>
      </c>
      <c r="V47" s="5">
        <v>15</v>
      </c>
      <c r="W47" s="5">
        <f>SUM(Table2[[#This Row],[Premissa 1]:[Premissa 8]])</f>
        <v>105</v>
      </c>
      <c r="X47" s="5" t="s">
        <v>9</v>
      </c>
      <c r="Y47" t="s">
        <v>459</v>
      </c>
    </row>
    <row r="48" spans="1:25" ht="15" hidden="1" customHeight="1">
      <c r="A48" s="4">
        <v>7900722193</v>
      </c>
      <c r="B48" s="4" t="e">
        <f>_xlfn.XLOOKUP(Table2[[#This Row],[Ativo]],Joao!B:B,Joao!Z:Z)</f>
        <v>#N/A</v>
      </c>
      <c r="C48" s="5" t="str">
        <f>MID(Table2[[#This Row],[Ativo]],1,2)</f>
        <v>79</v>
      </c>
      <c r="G48" s="4" t="str">
        <f>IFERROR(_xlfn.XLOOKUP(Table2[[#This Row],[Ativo]],Pendentes[COD_RELIGADOR],Pendentes[SS_ORIGINAL]),"CONCLUÍDA")</f>
        <v>ETO-TELE 01029/2026</v>
      </c>
      <c r="H48" s="4" t="s">
        <v>698</v>
      </c>
      <c r="L48" s="29"/>
      <c r="M48" s="31"/>
      <c r="N48" t="str">
        <f>IFERROR(_xlfn.XLOOKUP(Table2[[#This Row],[Ativo]],Pendentes[COD_RELIGADOR],Pendentes[DESCRICAO]),"")</f>
        <v>Religador sem comunicação, apos primeiro ataque não retornou a comunicação.</v>
      </c>
      <c r="O48" s="5"/>
      <c r="P48" s="5"/>
      <c r="Q48" s="5"/>
      <c r="R48" s="5"/>
      <c r="S48" s="5"/>
      <c r="T48" s="5"/>
      <c r="U48" s="5"/>
      <c r="V48" s="5"/>
      <c r="W48" s="5">
        <f>SUM(Table2[[#This Row],[Premissa 1]:[Premissa 8]])</f>
        <v>0</v>
      </c>
      <c r="X48" s="5"/>
    </row>
    <row r="49" spans="1:25" ht="15" hidden="1" customHeight="1">
      <c r="A49" s="4">
        <v>7900930040</v>
      </c>
      <c r="B49" s="4" t="e">
        <f>_xlfn.XLOOKUP(Table2[[#This Row],[Ativo]],Joao!B:B,Joao!Z:Z)</f>
        <v>#N/A</v>
      </c>
      <c r="C49" s="5" t="str">
        <f>MID(Table2[[#This Row],[Ativo]],1,2)</f>
        <v>79</v>
      </c>
      <c r="D49" s="5" t="s">
        <v>492</v>
      </c>
      <c r="E49" s="5" t="s">
        <v>57</v>
      </c>
      <c r="F49" s="5" t="s">
        <v>51</v>
      </c>
      <c r="G49" s="4" t="str">
        <f>IFERROR(_xlfn.XLOOKUP(Table2[[#This Row],[Ativo]],Pendentes[COD_RELIGADOR],Pendentes[SS_ORIGINAL]),"CONCLUÍDA")</f>
        <v>CONCLUÍDA</v>
      </c>
      <c r="H49" s="4" t="s">
        <v>683</v>
      </c>
      <c r="K49" s="4" t="s">
        <v>438</v>
      </c>
      <c r="L49" s="29"/>
      <c r="M49" s="31"/>
      <c r="N49" t="str">
        <f>IFERROR(_xlfn.XLOOKUP(Table2[[#This Row],[Ativo]],Pendentes[COD_RELIGADOR],Pendentes[DESCRICAO]),"")</f>
        <v/>
      </c>
      <c r="O49" s="5">
        <v>15</v>
      </c>
      <c r="P49" s="5">
        <v>20</v>
      </c>
      <c r="Q49" s="5">
        <v>5</v>
      </c>
      <c r="R49" s="5">
        <v>15</v>
      </c>
      <c r="S49" s="5">
        <v>0</v>
      </c>
      <c r="T49" s="5">
        <v>0</v>
      </c>
      <c r="U49" s="5">
        <v>10</v>
      </c>
      <c r="V49" s="5">
        <v>15</v>
      </c>
      <c r="W49" s="5">
        <f>SUM(Table2[[#This Row],[Premissa 1]:[Premissa 8]])</f>
        <v>80</v>
      </c>
      <c r="X49" s="5" t="s">
        <v>9</v>
      </c>
      <c r="Y49" t="s">
        <v>493</v>
      </c>
    </row>
    <row r="50" spans="1:25" ht="15" hidden="1" customHeight="1">
      <c r="A50" s="4">
        <v>7901110084</v>
      </c>
      <c r="B50" s="4" t="e">
        <f>_xlfn.XLOOKUP(Table2[[#This Row],[Ativo]],Joao!B:B,Joao!Z:Z)</f>
        <v>#N/A</v>
      </c>
      <c r="C50" s="5" t="str">
        <f>MID(Table2[[#This Row],[Ativo]],1,2)</f>
        <v>79</v>
      </c>
      <c r="D50" s="5" t="s">
        <v>210</v>
      </c>
      <c r="E50" s="5" t="s">
        <v>210</v>
      </c>
      <c r="F50" s="5" t="s">
        <v>42</v>
      </c>
      <c r="G50" s="4" t="str">
        <f>IFERROR(_xlfn.XLOOKUP(Table2[[#This Row],[Ativo]],Pendentes[COD_RELIGADOR],Pendentes[SS_ORIGINAL]),"CONCLUÍDA")</f>
        <v>ETO-COEP 00061/2026</v>
      </c>
      <c r="H50" s="4" t="s">
        <v>451</v>
      </c>
      <c r="K50" s="4" t="s">
        <v>694</v>
      </c>
      <c r="L50" s="29" t="s">
        <v>480</v>
      </c>
      <c r="M50" s="31">
        <v>1</v>
      </c>
      <c r="N50" t="str">
        <f>IFERROR(_xlfn.XLOOKUP(Table2[[#This Row],[Ativo]],Pendentes[COD_RELIGADOR],Pendentes[DESCRICAO]),"")</f>
        <v>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v>
      </c>
      <c r="O50" s="5">
        <v>5</v>
      </c>
      <c r="P50" s="5">
        <v>5</v>
      </c>
      <c r="Q50" s="5">
        <v>0</v>
      </c>
      <c r="R50" s="5">
        <v>0</v>
      </c>
      <c r="S50" s="5">
        <v>0</v>
      </c>
      <c r="T50" s="5">
        <v>0</v>
      </c>
      <c r="U50" s="5">
        <v>10</v>
      </c>
      <c r="V50" s="5">
        <v>0</v>
      </c>
      <c r="W50" s="5">
        <f>SUM(Table2[[#This Row],[Premissa 1]:[Premissa 8]])</f>
        <v>20</v>
      </c>
      <c r="X50" s="5" t="s">
        <v>15</v>
      </c>
      <c r="Y50" t="s">
        <v>333</v>
      </c>
    </row>
    <row r="51" spans="1:25" ht="15" hidden="1" customHeight="1">
      <c r="A51" s="39">
        <v>7902098003</v>
      </c>
      <c r="B51" s="39" t="e">
        <f>_xlfn.XLOOKUP(Table2[[#This Row],[Ativo]],Joao!B:B,Joao!Z:Z)</f>
        <v>#N/A</v>
      </c>
      <c r="C51" s="5" t="str">
        <f>MID(Table2[[#This Row],[Ativo]],1,2)</f>
        <v>79</v>
      </c>
      <c r="D51" s="5" t="s">
        <v>336</v>
      </c>
      <c r="E51" s="5" t="s">
        <v>336</v>
      </c>
      <c r="F51" s="5" t="s">
        <v>76</v>
      </c>
      <c r="G51" s="4" t="str">
        <f>IFERROR(_xlfn.XLOOKUP(Table2[[#This Row],[Ativo]],Pendentes[COD_RELIGADOR],Pendentes[SS_ORIGINAL]),"CONCLUÍDA")</f>
        <v>ETO-TELE 00932/2026</v>
      </c>
      <c r="L51" s="29"/>
      <c r="M51" s="31"/>
      <c r="N51" t="str">
        <f>IFERROR(_xlfn.XLOOKUP(Table2[[#This Row],[Ativo]],Pendentes[COD_RELIGADOR],Pendentes[DESCRICAO]),"")</f>
        <v>Segue SS de religador 7902098003 sem comunicação. Foi realizado o primeiro ataque porem o mesmo não retornou a comunicação.</v>
      </c>
      <c r="O51" s="5" t="s">
        <v>696</v>
      </c>
      <c r="P51" s="5"/>
      <c r="Q51" s="5"/>
      <c r="R51" s="5"/>
      <c r="S51" s="5"/>
      <c r="T51" s="5"/>
      <c r="U51" s="5"/>
      <c r="V51" s="5"/>
      <c r="W51" s="5">
        <f>SUM(Table2[[#This Row],[Premissa 1]:[Premissa 8]])</f>
        <v>0</v>
      </c>
      <c r="X51" s="5"/>
    </row>
    <row r="52" spans="1:25" ht="15" customHeight="1">
      <c r="A52" s="4">
        <v>7903112004</v>
      </c>
      <c r="B52" s="4" t="str">
        <f>_xlfn.XLOOKUP(Table2[[#This Row],[Ativo]],Joao!B:B,Joao!Z:Z)</f>
        <v>CONTROLE NOJA ENVIADO</v>
      </c>
      <c r="C52" s="5" t="str">
        <f>MID(Table2[[#This Row],[Ativo]],1,2)</f>
        <v>79</v>
      </c>
      <c r="D52" s="5" t="s">
        <v>57</v>
      </c>
      <c r="E52" s="5" t="s">
        <v>57</v>
      </c>
      <c r="F52" s="5" t="s">
        <v>51</v>
      </c>
      <c r="G52" s="4" t="str">
        <f>IFERROR(_xlfn.XLOOKUP(Table2[[#This Row],[Ativo]],Pendentes[COD_RELIGADOR],Pendentes[SS_ORIGINAL]),"CONCLUÍDA")</f>
        <v>ETO-COEP 00184/2025</v>
      </c>
      <c r="H52" s="4" t="s">
        <v>711</v>
      </c>
      <c r="I52" s="4" t="s">
        <v>712</v>
      </c>
      <c r="K52" s="4" t="s">
        <v>443</v>
      </c>
      <c r="L52" s="29" t="s">
        <v>480</v>
      </c>
      <c r="M52" s="31">
        <v>1</v>
      </c>
      <c r="N52" t="str">
        <f>IFERROR(_xlfn.XLOOKUP(Table2[[#This Row],[Ativo]],Pendentes[COD_RELIGADOR],Pendentes[DESCRICAO]),"")</f>
        <v>20/07 PARECER COEP: EQUIPAMENTO SELECIONADO PARA COMPRAApós testes no RLG 7903112004 foi constatado defeito no mesmo e como se trata de um modelo COOPER FORM6 que está obsoleto e não possuímos peças sobressalentes, faz-se necessária substituição completa por modelo NOJA RC10.</v>
      </c>
      <c r="O52" s="5">
        <v>15</v>
      </c>
      <c r="P52" s="5">
        <v>10</v>
      </c>
      <c r="Q52" s="5">
        <v>5</v>
      </c>
      <c r="R52" s="5">
        <v>15</v>
      </c>
      <c r="S52" s="5">
        <v>0</v>
      </c>
      <c r="T52" s="5">
        <v>10</v>
      </c>
      <c r="U52" s="5">
        <v>0</v>
      </c>
      <c r="V52" s="5">
        <v>0</v>
      </c>
      <c r="W52" s="5">
        <f>SUM(Table2[[#This Row],[Premissa 1]:[Premissa 8]])</f>
        <v>55</v>
      </c>
      <c r="X52" s="5" t="s">
        <v>13</v>
      </c>
      <c r="Y52" t="s">
        <v>220</v>
      </c>
    </row>
    <row r="53" spans="1:25" ht="15" hidden="1" customHeight="1">
      <c r="A53" s="12">
        <v>7903569004</v>
      </c>
      <c r="B53" s="12" t="e">
        <f>_xlfn.XLOOKUP(Table2[[#This Row],[Ativo]],Joao!B:B,Joao!Z:Z)</f>
        <v>#N/A</v>
      </c>
      <c r="C53" s="5" t="str">
        <f>MID(Table2[[#This Row],[Ativo]],1,2)</f>
        <v>79</v>
      </c>
      <c r="D53" s="5" t="s">
        <v>57</v>
      </c>
      <c r="E53" s="5" t="s">
        <v>57</v>
      </c>
      <c r="F53" s="5" t="s">
        <v>51</v>
      </c>
      <c r="G53" s="4" t="str">
        <f>IFERROR(_xlfn.XLOOKUP(Table2[[#This Row],[Ativo]],Pendentes[COD_RELIGADOR],Pendentes[SS_ORIGINAL]),"CONCLUÍDA")</f>
        <v>CONCLUÍDA</v>
      </c>
      <c r="H53" s="4" t="s">
        <v>683</v>
      </c>
      <c r="L53" s="29"/>
      <c r="M53" s="31"/>
      <c r="N53" t="str">
        <f>IFERROR(_xlfn.XLOOKUP(Table2[[#This Row],[Ativo]],Pendentes[COD_RELIGADOR],Pendentes[DESCRICAO]),"")</f>
        <v/>
      </c>
      <c r="O53" s="5">
        <v>15</v>
      </c>
      <c r="P53" s="5">
        <v>20</v>
      </c>
      <c r="Q53" s="5">
        <v>5</v>
      </c>
      <c r="R53" s="5">
        <v>15</v>
      </c>
      <c r="S53" s="5">
        <v>15</v>
      </c>
      <c r="T53" s="5">
        <v>10</v>
      </c>
      <c r="U53" s="5">
        <v>0</v>
      </c>
      <c r="V53" s="5">
        <v>15</v>
      </c>
      <c r="W53" s="5">
        <f>SUM(Table2[[#This Row],[Premissa 1]:[Premissa 8]])</f>
        <v>95</v>
      </c>
      <c r="X53" s="5" t="s">
        <v>9</v>
      </c>
      <c r="Y53" t="s">
        <v>463</v>
      </c>
    </row>
    <row r="54" spans="1:25" ht="15" hidden="1" customHeight="1">
      <c r="A54" s="12">
        <v>7908196047</v>
      </c>
      <c r="B54" s="12" t="e">
        <f>_xlfn.XLOOKUP(Table2[[#This Row],[Ativo]],Joao!B:B,Joao!Z:Z)</f>
        <v>#N/A</v>
      </c>
      <c r="C54" s="5" t="str">
        <f>MID(Table2[[#This Row],[Ativo]],1,2)</f>
        <v>79</v>
      </c>
      <c r="D54" s="5" t="s">
        <v>191</v>
      </c>
      <c r="E54" s="5" t="s">
        <v>449</v>
      </c>
      <c r="F54" s="5" t="s">
        <v>76</v>
      </c>
      <c r="G54" s="4" t="str">
        <f>IFERROR(_xlfn.XLOOKUP(Table2[[#This Row],[Ativo]],Pendentes[COD_RELIGADOR],Pendentes[SS_ORIGINAL]),"CONCLUÍDA")</f>
        <v>ETO-TELE 01002/2026</v>
      </c>
      <c r="H54" s="4" t="s">
        <v>451</v>
      </c>
      <c r="K54" s="4" t="s">
        <v>694</v>
      </c>
      <c r="L54" s="29" t="s">
        <v>469</v>
      </c>
      <c r="M54" s="31">
        <v>1</v>
      </c>
      <c r="N54" t="str">
        <f>IFERROR(_xlfn.XLOOKUP(Table2[[#This Row],[Ativo]],Pendentes[COD_RELIGADOR],Pendentes[DESCRICAO]),"")</f>
        <v>13/07/2026 PARECER COEP: EQUIPAMENTO REMANEJADO FAVOR FAZER O COMISSIONAMENTORELIGADOR N° 7908196047 REMANEJADO NA OBRA 0402401150 GENTILEZA, REALIZAR O COMISSIONAMENTO. LAUDO EM ANEXO. COORD EO: 698485, 8657287PARECER DA PROTEÇÃO:AJUSTE DISPONIBILIZADO NO APP DA PROTEÇÃO, NOTA REPASSADA PARA DMSL COMISSIONAR, POLO GURUPI, RL APENAS REMANEJADO DA REDE VELHA PARA REDE NOVA, EQUIPAMENTO COOPER, SE MANTEVE O MESMO NÚMERO DE ATIVO.ENG° IRLLEY CASTELO BRANCO.PARECER DMSL: Constatado curto-circuito no tanque do religador, impedindo as operações de abertura e fechamento do equipamento. Solicita-se a substituição completa do religador, incluindo tanque e unidade de controle.</v>
      </c>
      <c r="O54" s="5">
        <v>5</v>
      </c>
      <c r="P54" s="5">
        <v>5</v>
      </c>
      <c r="Q54" s="5">
        <v>5</v>
      </c>
      <c r="R54" s="5">
        <v>0</v>
      </c>
      <c r="S54" s="5">
        <v>0</v>
      </c>
      <c r="T54" s="5">
        <v>0</v>
      </c>
      <c r="U54" s="5">
        <v>10</v>
      </c>
      <c r="V54" s="5">
        <v>0</v>
      </c>
      <c r="W54" s="5">
        <f>SUM(Table2[[#This Row],[Premissa 1]:[Premissa 8]])</f>
        <v>25</v>
      </c>
      <c r="X54" s="5" t="s">
        <v>15</v>
      </c>
      <c r="Y54" t="s">
        <v>308</v>
      </c>
    </row>
    <row r="55" spans="1:25" ht="15" hidden="1" customHeight="1">
      <c r="A55" s="4">
        <v>7908206074</v>
      </c>
      <c r="B55" s="4" t="e">
        <f>_xlfn.XLOOKUP(Table2[[#This Row],[Ativo]],Joao!B:B,Joao!Z:Z)</f>
        <v>#N/A</v>
      </c>
      <c r="C55" s="5" t="str">
        <f>MID(Table2[[#This Row],[Ativo]],1,2)</f>
        <v>79</v>
      </c>
      <c r="D55" s="5" t="s">
        <v>75</v>
      </c>
      <c r="E55" s="5" t="s">
        <v>75</v>
      </c>
      <c r="F55" s="5" t="s">
        <v>76</v>
      </c>
      <c r="G55" s="4" t="str">
        <f>IFERROR(_xlfn.XLOOKUP(Table2[[#This Row],[Ativo]],Pendentes[COD_RELIGADOR],Pendentes[SS_ORIGINAL]),"CONCLUÍDA")</f>
        <v>CONCLUÍDA</v>
      </c>
      <c r="K55" s="4" t="s">
        <v>438</v>
      </c>
      <c r="L55" s="29"/>
      <c r="M55" s="31"/>
      <c r="N55" t="str">
        <f>IFERROR(_xlfn.XLOOKUP(Table2[[#This Row],[Ativo]],Pendentes[COD_RELIGADOR],Pendentes[DESCRICAO]),"")</f>
        <v/>
      </c>
      <c r="O55" s="5">
        <v>5</v>
      </c>
      <c r="P55" s="5">
        <v>5</v>
      </c>
      <c r="Q55" s="5">
        <v>0</v>
      </c>
      <c r="R55" s="5">
        <v>0</v>
      </c>
      <c r="S55" s="5">
        <v>0</v>
      </c>
      <c r="T55" s="5">
        <v>0</v>
      </c>
      <c r="U55" s="5">
        <v>10</v>
      </c>
      <c r="V55" s="5">
        <v>0</v>
      </c>
      <c r="W55" s="5">
        <f>SUM(Table2[[#This Row],[Premissa 1]:[Premissa 8]])</f>
        <v>20</v>
      </c>
      <c r="X55" s="5" t="s">
        <v>15</v>
      </c>
      <c r="Y55" t="s">
        <v>543</v>
      </c>
    </row>
    <row r="56" spans="1:25" ht="15" hidden="1" customHeight="1">
      <c r="A56" s="4">
        <v>7908249152</v>
      </c>
      <c r="B56" s="4" t="e">
        <f>_xlfn.XLOOKUP(Table2[[#This Row],[Ativo]],Joao!B:B,Joao!Z:Z)</f>
        <v>#N/A</v>
      </c>
      <c r="C56" s="5" t="str">
        <f>MID(Table2[[#This Row],[Ativo]],1,2)</f>
        <v>79</v>
      </c>
      <c r="D56" s="5" t="s">
        <v>291</v>
      </c>
      <c r="E56" s="5" t="s">
        <v>41</v>
      </c>
      <c r="F56" s="5" t="s">
        <v>42</v>
      </c>
      <c r="G56" s="4" t="str">
        <f>IFERROR(_xlfn.XLOOKUP(Table2[[#This Row],[Ativo]],Pendentes[COD_RELIGADOR],Pendentes[SS_ORIGINAL]),"CONCLUÍDA")</f>
        <v>ETO-COEP 00038/2026</v>
      </c>
      <c r="H56" s="4" t="s">
        <v>451</v>
      </c>
      <c r="K56" s="4" t="s">
        <v>694</v>
      </c>
      <c r="L56" s="29" t="s">
        <v>469</v>
      </c>
      <c r="M56" s="31">
        <v>1</v>
      </c>
      <c r="N56" t="str">
        <f>IFERROR(_xlfn.XLOOKUP(Table2[[#This Row],[Ativo]],Pendentes[COD_RELIGADOR],Pendentes[DESCRICAO]),"")</f>
        <v>14/07/2026 PARECER COEP: EQUIPAMENTO SELECIONADO PARA COMPRADMSL:Serviço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v>
      </c>
      <c r="O56" s="5">
        <v>5</v>
      </c>
      <c r="P56" s="5">
        <v>5</v>
      </c>
      <c r="Q56" s="5">
        <v>0</v>
      </c>
      <c r="R56" s="5">
        <v>0</v>
      </c>
      <c r="S56" s="5">
        <v>15</v>
      </c>
      <c r="T56" s="5">
        <v>10</v>
      </c>
      <c r="U56" s="5">
        <v>0</v>
      </c>
      <c r="V56" s="5">
        <v>0</v>
      </c>
      <c r="W56" s="5">
        <f>SUM(Table2[[#This Row],[Premissa 1]:[Premissa 8]])</f>
        <v>35</v>
      </c>
      <c r="X56" s="5" t="s">
        <v>14</v>
      </c>
      <c r="Y56" t="s">
        <v>293</v>
      </c>
    </row>
    <row r="57" spans="1:25" ht="15" hidden="1" customHeight="1">
      <c r="A57" s="4">
        <v>7908300096</v>
      </c>
      <c r="B57" s="4" t="e">
        <f>_xlfn.XLOOKUP(Table2[[#This Row],[Ativo]],Joao!B:B,Joao!Z:Z)</f>
        <v>#N/A</v>
      </c>
      <c r="C57" s="5" t="str">
        <f>MID(Table2[[#This Row],[Ativo]],1,2)</f>
        <v>79</v>
      </c>
      <c r="D57" s="5" t="s">
        <v>316</v>
      </c>
      <c r="E57" s="5" t="s">
        <v>108</v>
      </c>
      <c r="F57" s="5" t="s">
        <v>42</v>
      </c>
      <c r="G57" s="4" t="str">
        <f>IFERROR(_xlfn.XLOOKUP(Table2[[#This Row],[Ativo]],Pendentes[COD_RELIGADOR],Pendentes[SS_ORIGINAL]),"CONCLUÍDA")</f>
        <v>ETO-TELE 00938/2026</v>
      </c>
      <c r="L57" s="29"/>
      <c r="M57" s="31"/>
      <c r="N57" t="str">
        <f>IFERROR(_xlfn.XLOOKUP(Table2[[#This Row],[Ativo]],Pendentes[COD_RELIGADOR],Pendentes[DESCRICAO]),"")</f>
        <v>Segue nota para verificar falha intermitência na comunicação RL 7908300096 RDU- Pindorama .</v>
      </c>
      <c r="O57" s="5" t="s">
        <v>696</v>
      </c>
      <c r="P57" s="5"/>
      <c r="Q57" s="5"/>
      <c r="R57" s="5"/>
      <c r="S57" s="5"/>
      <c r="T57" s="5"/>
      <c r="U57" s="5"/>
      <c r="V57" s="5"/>
      <c r="W57" s="5">
        <f>SUM(Table2[[#This Row],[Premissa 1]:[Premissa 8]])</f>
        <v>0</v>
      </c>
      <c r="X57" s="5"/>
    </row>
    <row r="58" spans="1:25" ht="15" hidden="1" customHeight="1">
      <c r="A58" s="5">
        <v>7908302256</v>
      </c>
      <c r="B58" s="5" t="e">
        <f>_xlfn.XLOOKUP(Table2[[#This Row],[Ativo]],Joao!B:B,Joao!Z:Z)</f>
        <v>#N/A</v>
      </c>
      <c r="C58" s="5" t="str">
        <f>MID(Table2[[#This Row],[Ativo]],1,2)</f>
        <v>79</v>
      </c>
      <c r="D58" s="5" t="s">
        <v>107</v>
      </c>
      <c r="E58" s="5" t="s">
        <v>108</v>
      </c>
      <c r="F58" s="5" t="s">
        <v>42</v>
      </c>
      <c r="G58" s="4" t="str">
        <f>IFERROR(_xlfn.XLOOKUP(Table2[[#This Row],[Ativo]],Pendentes[COD_RELIGADOR],Pendentes[SS_ORIGINAL]),"CONCLUÍDA")</f>
        <v>ETO-TELE 00997/2026</v>
      </c>
      <c r="H58" s="5" t="s">
        <v>495</v>
      </c>
      <c r="L58" s="29"/>
      <c r="M58" s="31"/>
      <c r="N58" t="str">
        <f>IFERROR(_xlfn.XLOOKUP(Table2[[#This Row],[Ativo]],Pendentes[COD_RELIGADOR],Pendentes[DESCRICAO]),"")</f>
        <v>RL teve nota baixada (ETO-TELE 970/2026) pore´m eqp continua fora de operação, solicito programação para equipe verificar em campo</v>
      </c>
      <c r="O58" s="5">
        <v>5</v>
      </c>
      <c r="P58" s="5">
        <v>10</v>
      </c>
      <c r="Q58" s="5">
        <v>5</v>
      </c>
      <c r="R58" s="5">
        <v>15</v>
      </c>
      <c r="S58" s="5">
        <v>15</v>
      </c>
      <c r="T58" s="5">
        <v>10</v>
      </c>
      <c r="U58" s="5">
        <v>0</v>
      </c>
      <c r="V58" s="5">
        <v>15</v>
      </c>
      <c r="W58" s="5">
        <f>SUM(Table2[[#This Row],[Premissa 1]:[Premissa 8]])</f>
        <v>75</v>
      </c>
      <c r="X58" s="5" t="s">
        <v>13</v>
      </c>
      <c r="Y58" t="s">
        <v>160</v>
      </c>
    </row>
    <row r="59" spans="1:25" ht="15" hidden="1" customHeight="1">
      <c r="A59" s="4">
        <v>7908683122</v>
      </c>
      <c r="B59" s="4" t="e">
        <f>_xlfn.XLOOKUP(Table2[[#This Row],[Ativo]],Joao!B:B,Joao!Z:Z)</f>
        <v>#N/A</v>
      </c>
      <c r="C59" s="5" t="str">
        <f>MID(Table2[[#This Row],[Ativo]],1,2)</f>
        <v>79</v>
      </c>
      <c r="G59" s="4" t="str">
        <f>IFERROR(_xlfn.XLOOKUP(Table2[[#This Row],[Ativo]],Pendentes[COD_RELIGADOR],Pendentes[SS_ORIGINAL]),"CONCLUÍDA")</f>
        <v>ETO-TELE 00998/2026</v>
      </c>
      <c r="H59" s="4" t="s">
        <v>698</v>
      </c>
      <c r="L59" s="29"/>
      <c r="M59" s="31"/>
      <c r="N59" t="str">
        <f>IFERROR(_xlfn.XLOOKUP(Table2[[#This Row],[Ativo]],Pendentes[COD_RELIGADOR],Pendentes[DESCRICAO]),"")</f>
        <v>rl 7908683122  retirado de operaçao devido falha na base do rele  equipamento.</v>
      </c>
      <c r="O59" s="5"/>
      <c r="P59" s="5"/>
      <c r="Q59" s="5"/>
      <c r="R59" s="5"/>
      <c r="S59" s="5"/>
      <c r="T59" s="5"/>
      <c r="U59" s="5"/>
      <c r="V59" s="5"/>
      <c r="W59" s="5">
        <f>SUM(Table2[[#This Row],[Premissa 1]:[Premissa 8]])</f>
        <v>0</v>
      </c>
      <c r="X59" s="5"/>
    </row>
    <row r="60" spans="1:25" ht="15" customHeight="1">
      <c r="A60" s="4">
        <v>7908686014</v>
      </c>
      <c r="B60" s="4" t="str">
        <f>_xlfn.XLOOKUP(Table2[[#This Row],[Ativo]],Joao!B:B,Joao!Z:Z)</f>
        <v>Previsão de Substiuição atrasada</v>
      </c>
      <c r="C60" s="5" t="str">
        <f>MID(Table2[[#This Row],[Ativo]],1,2)</f>
        <v>79</v>
      </c>
      <c r="D60" s="5" t="s">
        <v>126</v>
      </c>
      <c r="E60" s="5" t="s">
        <v>97</v>
      </c>
      <c r="F60" s="5" t="s">
        <v>42</v>
      </c>
      <c r="G60" s="4" t="str">
        <f>IFERROR(_xlfn.XLOOKUP(Table2[[#This Row],[Ativo]],Pendentes[COD_RELIGADOR],Pendentes[SS_ORIGINAL]),"CONCLUÍDA")</f>
        <v>ETO-RD-PS 00302/2026</v>
      </c>
      <c r="H60" s="5" t="s">
        <v>455</v>
      </c>
      <c r="I60" s="4" t="s">
        <v>713</v>
      </c>
      <c r="K60" s="4" t="s">
        <v>443</v>
      </c>
      <c r="L60" s="29" t="s">
        <v>480</v>
      </c>
      <c r="M60" s="31">
        <v>1</v>
      </c>
      <c r="N60" t="str">
        <f>IFERROR(_xlfn.XLOOKUP(Table2[[#This Row],[Ativo]],Pendentes[COD_RELIGADOR],Pendentes[DESCRICAO]),"")</f>
        <v>10/07 PARECER COEP: EQUIPAMENTO ENTREGUE AOS COCM´S FAVOR INFORMAR PRAZO DE SUBSTUIÇÃO PARA O DMSL E REPASSAR DEPOIS PARA PROTEÇÃO REALIZAR OS AJUSTES E DESCREVER NA SS O SERVIÇO REALIZADO06/07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v>
      </c>
      <c r="O60" s="5">
        <v>15</v>
      </c>
      <c r="P60" s="5">
        <v>20</v>
      </c>
      <c r="Q60" s="5">
        <v>0</v>
      </c>
      <c r="R60" s="5">
        <v>15</v>
      </c>
      <c r="S60" s="5">
        <v>15</v>
      </c>
      <c r="T60" s="5">
        <v>10</v>
      </c>
      <c r="U60" s="5">
        <v>0</v>
      </c>
      <c r="V60" s="5">
        <v>15</v>
      </c>
      <c r="W60" s="5">
        <f>SUM(Table2[[#This Row],[Premissa 1]:[Premissa 8]])</f>
        <v>90</v>
      </c>
      <c r="X60" s="5" t="s">
        <v>9</v>
      </c>
      <c r="Y60" t="s">
        <v>129</v>
      </c>
    </row>
    <row r="61" spans="1:25" ht="15" customHeight="1">
      <c r="A61" s="40">
        <v>7908705049</v>
      </c>
      <c r="B61" s="40">
        <f>_xlfn.XLOOKUP(Table2[[#This Row],[Ativo]],Joao!B:B,Joao!Z:Z)</f>
        <v>0</v>
      </c>
      <c r="C61" s="5" t="str">
        <f>MID(Table2[[#This Row],[Ativo]],1,2)</f>
        <v>79</v>
      </c>
      <c r="D61" s="5" t="s">
        <v>86</v>
      </c>
      <c r="E61" s="5" t="s">
        <v>75</v>
      </c>
      <c r="F61" s="5" t="s">
        <v>76</v>
      </c>
      <c r="G61" s="4" t="str">
        <f>IFERROR(_xlfn.XLOOKUP(Table2[[#This Row],[Ativo]],Pendentes[COD_RELIGADOR],Pendentes[SS_ORIGINAL]),"CONCLUÍDA")</f>
        <v>ETO-RD-DP 00409/2026</v>
      </c>
      <c r="H61" s="4" t="s">
        <v>445</v>
      </c>
      <c r="I61" s="4" t="s">
        <v>714</v>
      </c>
      <c r="K61" s="4" t="s">
        <v>443</v>
      </c>
      <c r="L61" s="29" t="s">
        <v>469</v>
      </c>
      <c r="M61" s="31">
        <v>1</v>
      </c>
      <c r="N61" t="str">
        <f>IFERROR(_xlfn.XLOOKUP(Table2[[#This Row],[Ativo]],Pendentes[COD_RELIGADOR],Pendentes[DESCRICAO]),"")</f>
        <v>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v>
      </c>
      <c r="O61" s="5">
        <v>15</v>
      </c>
      <c r="P61" s="5">
        <v>20</v>
      </c>
      <c r="Q61" s="5">
        <v>5</v>
      </c>
      <c r="R61" s="5">
        <v>15</v>
      </c>
      <c r="S61" s="5">
        <v>15</v>
      </c>
      <c r="T61" s="5">
        <v>0</v>
      </c>
      <c r="U61" s="5">
        <v>10</v>
      </c>
      <c r="V61" s="5">
        <v>15</v>
      </c>
      <c r="W61" s="5">
        <f>SUM(Table2[[#This Row],[Premissa 1]:[Premissa 8]])</f>
        <v>95</v>
      </c>
      <c r="X61" s="5" t="s">
        <v>9</v>
      </c>
      <c r="Y61" t="s">
        <v>89</v>
      </c>
    </row>
    <row r="62" spans="1:25" ht="15" hidden="1" customHeight="1">
      <c r="A62" s="12">
        <v>7908708116</v>
      </c>
      <c r="B62" s="12" t="e">
        <f>_xlfn.XLOOKUP(Table2[[#This Row],[Ativo]],Joao!B:B,Joao!Z:Z)</f>
        <v>#N/A</v>
      </c>
      <c r="C62" s="5" t="str">
        <f>MID(Table2[[#This Row],[Ativo]],1,2)</f>
        <v>79</v>
      </c>
      <c r="D62" s="5" t="s">
        <v>200</v>
      </c>
      <c r="E62" s="5" t="s">
        <v>75</v>
      </c>
      <c r="F62" s="5" t="s">
        <v>76</v>
      </c>
      <c r="G62" s="4" t="str">
        <f>IFERROR(_xlfn.XLOOKUP(Table2[[#This Row],[Ativo]],Pendentes[COD_RELIGADOR],Pendentes[SS_ORIGINAL]),"CONCLUÍDA")</f>
        <v>CONCLUÍDA</v>
      </c>
      <c r="H62" s="4" t="s">
        <v>715</v>
      </c>
      <c r="I62" s="4" t="s">
        <v>716</v>
      </c>
      <c r="K62" s="4" t="s">
        <v>694</v>
      </c>
      <c r="L62" s="29" t="s">
        <v>469</v>
      </c>
      <c r="M62" s="31"/>
      <c r="N62" t="str">
        <f>IFERROR(_xlfn.XLOOKUP(Table2[[#This Row],[Ativo]],Pendentes[COD_RELIGADOR],Pendentes[DESCRICAO]),"")</f>
        <v/>
      </c>
      <c r="O62" s="5">
        <v>5</v>
      </c>
      <c r="P62" s="5">
        <v>5</v>
      </c>
      <c r="Q62" s="5">
        <v>0</v>
      </c>
      <c r="R62" s="5">
        <v>0</v>
      </c>
      <c r="S62" s="5">
        <v>0</v>
      </c>
      <c r="T62" s="5">
        <v>0</v>
      </c>
      <c r="U62" s="5">
        <v>10</v>
      </c>
      <c r="V62" s="5">
        <v>0</v>
      </c>
      <c r="W62" s="5">
        <f>SUM(Table2[[#This Row],[Premissa 1]:[Premissa 8]])</f>
        <v>20</v>
      </c>
      <c r="X62" s="5" t="s">
        <v>15</v>
      </c>
      <c r="Y62" t="s">
        <v>545</v>
      </c>
    </row>
    <row r="63" spans="1:25" ht="15" hidden="1" customHeight="1">
      <c r="A63" s="4">
        <v>7908716091</v>
      </c>
      <c r="B63" s="4" t="e">
        <f>_xlfn.XLOOKUP(Table2[[#This Row],[Ativo]],Joao!B:B,Joao!Z:Z)</f>
        <v>#N/A</v>
      </c>
      <c r="C63" s="5" t="str">
        <f>MID(Table2[[#This Row],[Ativo]],1,2)</f>
        <v>79</v>
      </c>
      <c r="G63" s="4" t="str">
        <f>IFERROR(_xlfn.XLOOKUP(Table2[[#This Row],[Ativo]],Pendentes[COD_RELIGADOR],Pendentes[SS_ORIGINAL]),"CONCLUÍDA")</f>
        <v>ETO-TELE 01019/2026</v>
      </c>
      <c r="H63" s="4" t="s">
        <v>698</v>
      </c>
      <c r="L63" s="29"/>
      <c r="M63" s="31"/>
      <c r="N63" t="str">
        <f>IFERROR(_xlfn.XLOOKUP(Table2[[#This Row],[Ativo]],Pendentes[COD_RELIGADOR],Pendentes[DESCRICAO]),"")</f>
        <v>Segue nota para verificar falha de comunicação no religador 7908716091 - Rural -  Almas  .Equipamento perdeu a comunicação quando faltou CA , porém mesmo ao retorna o CA não retornou à comunicação !</v>
      </c>
      <c r="O63" s="5"/>
      <c r="P63" s="5"/>
      <c r="Q63" s="5"/>
      <c r="R63" s="5"/>
      <c r="S63" s="5"/>
      <c r="T63" s="5"/>
      <c r="U63" s="5"/>
      <c r="V63" s="5"/>
      <c r="W63" s="5">
        <f>SUM(Table2[[#This Row],[Premissa 1]:[Premissa 8]])</f>
        <v>0</v>
      </c>
      <c r="X63" s="5"/>
    </row>
    <row r="64" spans="1:25" ht="15" hidden="1" customHeight="1">
      <c r="A64" s="4">
        <v>7910027196</v>
      </c>
      <c r="B64" s="4" t="e">
        <f>_xlfn.XLOOKUP(Table2[[#This Row],[Ativo]],Joao!B:B,Joao!Z:Z)</f>
        <v>#N/A</v>
      </c>
      <c r="C64" s="5" t="str">
        <f>MID(Table2[[#This Row],[Ativo]],1,2)</f>
        <v>79</v>
      </c>
      <c r="D64" s="5" t="s">
        <v>546</v>
      </c>
      <c r="E64" s="5" t="s">
        <v>62</v>
      </c>
      <c r="F64" s="5" t="s">
        <v>42</v>
      </c>
      <c r="G64" s="4" t="str">
        <f>IFERROR(_xlfn.XLOOKUP(Table2[[#This Row],[Ativo]],Pendentes[COD_RELIGADOR],Pendentes[SS_ORIGINAL]),"CONCLUÍDA")</f>
        <v>CONCLUÍDA</v>
      </c>
      <c r="H64" s="4" t="s">
        <v>451</v>
      </c>
      <c r="K64" s="4" t="s">
        <v>694</v>
      </c>
      <c r="L64" s="29" t="s">
        <v>469</v>
      </c>
      <c r="M64" s="31">
        <v>1</v>
      </c>
      <c r="N64" t="str">
        <f>IFERROR(_xlfn.XLOOKUP(Table2[[#This Row],[Ativo]],Pendentes[COD_RELIGADOR],Pendentes[DESCRICAO]),"")</f>
        <v/>
      </c>
      <c r="O64" s="5">
        <v>5</v>
      </c>
      <c r="P64" s="5">
        <v>5</v>
      </c>
      <c r="Q64" s="5">
        <v>0</v>
      </c>
      <c r="R64" s="5">
        <v>0</v>
      </c>
      <c r="S64" s="5">
        <v>0</v>
      </c>
      <c r="T64" s="5">
        <v>0</v>
      </c>
      <c r="U64" s="5">
        <v>10</v>
      </c>
      <c r="V64" s="5">
        <v>0</v>
      </c>
      <c r="W64" s="5">
        <f>SUM(Table2[[#This Row],[Premissa 1]:[Premissa 8]])</f>
        <v>20</v>
      </c>
      <c r="X64" s="5" t="s">
        <v>15</v>
      </c>
      <c r="Y64" t="s">
        <v>549</v>
      </c>
    </row>
    <row r="65" spans="1:25" ht="34.5" hidden="1" customHeight="1">
      <c r="A65" s="4">
        <v>7911120026</v>
      </c>
      <c r="B65" s="4" t="e">
        <f>_xlfn.XLOOKUP(Table2[[#This Row],[Ativo]],Joao!B:B,Joao!Z:Z)</f>
        <v>#N/A</v>
      </c>
      <c r="C65" s="5" t="str">
        <f>MID(Table2[[#This Row],[Ativo]],1,2)</f>
        <v>79</v>
      </c>
      <c r="D65" s="5" t="s">
        <v>108</v>
      </c>
      <c r="E65" s="5" t="s">
        <v>108</v>
      </c>
      <c r="F65" s="5" t="s">
        <v>42</v>
      </c>
      <c r="G65" s="4" t="str">
        <f>IFERROR(_xlfn.XLOOKUP(Table2[[#This Row],[Ativo]],Pendentes[COD_RELIGADOR],Pendentes[SS_ORIGINAL]),"CONCLUÍDA")</f>
        <v>DG-RD-PO 00444/2026</v>
      </c>
      <c r="H65" s="4" t="s">
        <v>717</v>
      </c>
      <c r="I65" s="4" t="s">
        <v>497</v>
      </c>
      <c r="L65" s="29"/>
      <c r="M65" s="31"/>
      <c r="N65" t="str">
        <f>IFERROR(_xlfn.XLOOKUP(Table2[[#This Row],[Ativo]],Pendentes[COD_RELIGADOR],Pendentes[DESCRICAO]),"")</f>
        <v>Segue nota para recuperar malha de aterramento no RL 7911120026 RDU- Ponte Alta .OBS: Provavelmente foi furtado cabos de aterramento   .</v>
      </c>
      <c r="O65" s="5" t="s">
        <v>696</v>
      </c>
      <c r="P65" s="5"/>
      <c r="Q65" s="5"/>
      <c r="R65" s="5"/>
      <c r="S65" s="5"/>
      <c r="T65" s="5"/>
      <c r="U65" s="5"/>
      <c r="V65" s="5"/>
      <c r="W65" s="5">
        <f>SUM(Table2[[#This Row],[Premissa 1]:[Premissa 8]])</f>
        <v>0</v>
      </c>
      <c r="X65" s="5"/>
    </row>
    <row r="66" spans="1:25" ht="15" hidden="1" customHeight="1">
      <c r="A66" s="4">
        <v>7913662076</v>
      </c>
      <c r="B66" s="4" t="e">
        <f>_xlfn.XLOOKUP(Table2[[#This Row],[Ativo]],Joao!B:B,Joao!Z:Z)</f>
        <v>#N/A</v>
      </c>
      <c r="C66" s="5" t="str">
        <f>MID(Table2[[#This Row],[Ativo]],1,2)</f>
        <v>79</v>
      </c>
      <c r="D66" s="5" t="s">
        <v>335</v>
      </c>
      <c r="E66" s="5" t="s">
        <v>336</v>
      </c>
      <c r="F66" s="5" t="s">
        <v>76</v>
      </c>
      <c r="G66" s="4" t="str">
        <f>IFERROR(_xlfn.XLOOKUP(Table2[[#This Row],[Ativo]],Pendentes[COD_RELIGADOR],Pendentes[SS_ORIGINAL]),"CONCLUÍDA")</f>
        <v>ETO-COEP 00114/2026</v>
      </c>
      <c r="H66" s="4" t="s">
        <v>451</v>
      </c>
      <c r="I66" s="4" t="s">
        <v>718</v>
      </c>
      <c r="K66" s="4" t="s">
        <v>694</v>
      </c>
      <c r="L66" s="29" t="s">
        <v>480</v>
      </c>
      <c r="M66" s="31">
        <v>1</v>
      </c>
      <c r="N66" t="str">
        <f>IFERROR(_xlfn.XLOOKUP(Table2[[#This Row],[Ativo]],Pendentes[COD_RELIGADOR],Pendentes[DESCRICAO]),"")</f>
        <v>30/06 PARECER COEP: AGUARDANDO RETORNO DO DMSL PARA ENTENDER EXATAMENTE O QUE TENHO QUE SUBSTITUIRAberto nota para substituir tanque danificado e chave de entrada fase B danificadaPARECER DMSL: Foi confirmado pela equipe DMSL o defeito do tanque, favor seguir com a substituição e correção da chave de entrada fase B danificada.</v>
      </c>
      <c r="O66" s="5">
        <v>5</v>
      </c>
      <c r="P66" s="5">
        <v>5</v>
      </c>
      <c r="Q66" s="5">
        <v>0</v>
      </c>
      <c r="R66" s="5">
        <v>0</v>
      </c>
      <c r="S66" s="5">
        <v>0</v>
      </c>
      <c r="T66" s="5">
        <v>10</v>
      </c>
      <c r="U66" s="5">
        <v>0</v>
      </c>
      <c r="V66" s="5">
        <v>0</v>
      </c>
      <c r="W66" s="5">
        <f>SUM(Table2[[#This Row],[Premissa 1]:[Premissa 8]])</f>
        <v>20</v>
      </c>
      <c r="X66" s="5" t="s">
        <v>15</v>
      </c>
      <c r="Y66" t="s">
        <v>339</v>
      </c>
    </row>
    <row r="67" spans="1:25" ht="15" hidden="1" customHeight="1">
      <c r="A67" s="4">
        <v>7919270014</v>
      </c>
      <c r="B67" s="4" t="e">
        <f>_xlfn.XLOOKUP(Table2[[#This Row],[Ativo]],Joao!B:B,Joao!Z:Z)</f>
        <v>#N/A</v>
      </c>
      <c r="C67" s="5" t="str">
        <f>MID(Table2[[#This Row],[Ativo]],1,2)</f>
        <v>79</v>
      </c>
      <c r="D67" s="5" t="s">
        <v>126</v>
      </c>
      <c r="E67" s="5" t="s">
        <v>97</v>
      </c>
      <c r="F67" s="5" t="s">
        <v>42</v>
      </c>
      <c r="G67" s="4" t="str">
        <f>IFERROR(_xlfn.XLOOKUP(Table2[[#This Row],[Ativo]],Pendentes[COD_RELIGADOR],Pendentes[SS_ORIGINAL]),"CONCLUÍDA")</f>
        <v>ETO-RD-PS 00327/2026</v>
      </c>
      <c r="H67" s="4" t="s">
        <v>451</v>
      </c>
      <c r="K67" s="4" t="s">
        <v>694</v>
      </c>
      <c r="L67" s="29"/>
      <c r="M67" s="31"/>
      <c r="N67" t="str">
        <f>IFERROR(_xlfn.XLOOKUP(Table2[[#This Row],[Ativo]],Pendentes[COD_RELIGADOR],Pendentes[DESCRICAO]),"")</f>
        <v>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Benvindo13/07/2026 PARECER COEP: SUBSTITUIÇÃO REALZIADA , FAVOR COMISSIONARPARECER DMSL (22/07/26): Solicito que o laudo de substituição seja anexado, e a SS seja repassada para proteção atribuir a ordem de ajuste, antes de repassar para ETO-TELE.----------------------------------------------PARECER DA PROTEÇÃO: Prosseguir com o comissionamento. Ajustes de religador permanecem os mesmos, disponíveis no APP da Proteção.********************************RELIGADOR N°7919270014 REMANEJADO NA OBRA 0212501060 GENTILEZA, REALIZAR O COMISSIONAMENTO. LAUDO EM ANEXO. COORD EO: 617422, 8830787</v>
      </c>
      <c r="O67" s="5">
        <v>5</v>
      </c>
      <c r="P67" s="5">
        <v>5</v>
      </c>
      <c r="Q67" s="5">
        <v>0</v>
      </c>
      <c r="R67" s="5">
        <v>0</v>
      </c>
      <c r="S67" s="5">
        <v>0</v>
      </c>
      <c r="T67" s="5">
        <v>10</v>
      </c>
      <c r="U67" s="5">
        <v>0</v>
      </c>
      <c r="V67" s="5">
        <v>0</v>
      </c>
      <c r="W67" s="5">
        <f>SUM(Table2[[#This Row],[Premissa 1]:[Premissa 8]])</f>
        <v>20</v>
      </c>
      <c r="X67" s="5" t="s">
        <v>15</v>
      </c>
      <c r="Y67" t="s">
        <v>350</v>
      </c>
    </row>
    <row r="68" spans="1:25" ht="15" hidden="1" customHeight="1">
      <c r="A68" s="4">
        <v>7920024127</v>
      </c>
      <c r="B68" s="4" t="e">
        <f>_xlfn.XLOOKUP(Table2[[#This Row],[Ativo]],Joao!B:B,Joao!Z:Z)</f>
        <v>#N/A</v>
      </c>
      <c r="C68" s="5" t="str">
        <f>MID(Table2[[#This Row],[Ativo]],1,2)</f>
        <v>79</v>
      </c>
      <c r="D68" s="5" t="s">
        <v>222</v>
      </c>
      <c r="E68" s="5" t="s">
        <v>223</v>
      </c>
      <c r="F68" s="5" t="s">
        <v>51</v>
      </c>
      <c r="G68" s="4" t="str">
        <f>IFERROR(_xlfn.XLOOKUP(Table2[[#This Row],[Ativo]],Pendentes[COD_RELIGADOR],Pendentes[SS_ORIGINAL]),"CONCLUÍDA")</f>
        <v>ETO-COEP 00120/2025</v>
      </c>
      <c r="H68" s="4" t="s">
        <v>451</v>
      </c>
      <c r="K68" s="4" t="s">
        <v>694</v>
      </c>
      <c r="L68" s="29" t="s">
        <v>510</v>
      </c>
      <c r="M68" s="31">
        <v>1</v>
      </c>
      <c r="N68" t="str">
        <f>IFERROR(_xlfn.XLOOKUP(Table2[[#This Row],[Ativo]],Pendentes[COD_RELIGADOR],Pendentes[DESCRICAO]),"")</f>
        <v>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v>
      </c>
      <c r="O68" s="5">
        <v>15</v>
      </c>
      <c r="P68" s="5">
        <v>10</v>
      </c>
      <c r="Q68" s="5">
        <v>5</v>
      </c>
      <c r="R68" s="5">
        <v>15</v>
      </c>
      <c r="S68" s="5">
        <v>0</v>
      </c>
      <c r="T68" s="5">
        <v>10</v>
      </c>
      <c r="U68" s="5">
        <v>0</v>
      </c>
      <c r="V68" s="5">
        <v>0</v>
      </c>
      <c r="W68" s="5">
        <f>SUM(Table2[[#This Row],[Premissa 1]:[Premissa 8]])</f>
        <v>55</v>
      </c>
      <c r="X68" s="5" t="s">
        <v>13</v>
      </c>
      <c r="Y68" t="s">
        <v>226</v>
      </c>
    </row>
    <row r="69" spans="1:25" ht="15" hidden="1" customHeight="1">
      <c r="A69" s="4">
        <v>7921040031</v>
      </c>
      <c r="B69" s="4" t="e">
        <f>_xlfn.XLOOKUP(Table2[[#This Row],[Ativo]],Joao!B:B,Joao!Z:Z)</f>
        <v>#N/A</v>
      </c>
      <c r="C69" s="5" t="str">
        <f>MID(Table2[[#This Row],[Ativo]],1,2)</f>
        <v>79</v>
      </c>
      <c r="D69" s="5" t="s">
        <v>476</v>
      </c>
      <c r="E69" s="5" t="s">
        <v>186</v>
      </c>
      <c r="F69" s="5" t="s">
        <v>42</v>
      </c>
      <c r="G69" s="4" t="str">
        <f>IFERROR(_xlfn.XLOOKUP(Table2[[#This Row],[Ativo]],Pendentes[COD_RELIGADOR],Pendentes[SS_ORIGINAL]),"CONCLUÍDA")</f>
        <v>CONCLUÍDA</v>
      </c>
      <c r="H69" s="4" t="s">
        <v>683</v>
      </c>
      <c r="K69" s="4" t="s">
        <v>438</v>
      </c>
      <c r="L69" s="29"/>
      <c r="M69" s="31"/>
      <c r="N69" t="str">
        <f>IFERROR(_xlfn.XLOOKUP(Table2[[#This Row],[Ativo]],Pendentes[COD_RELIGADOR],Pendentes[DESCRICAO]),"")</f>
        <v/>
      </c>
      <c r="O69" s="5">
        <v>15</v>
      </c>
      <c r="P69" s="5">
        <v>20</v>
      </c>
      <c r="Q69" s="5">
        <v>5</v>
      </c>
      <c r="R69" s="5">
        <v>15</v>
      </c>
      <c r="S69" s="5">
        <v>15</v>
      </c>
      <c r="T69" s="5">
        <v>10</v>
      </c>
      <c r="U69" s="5">
        <v>0</v>
      </c>
      <c r="V69" s="5">
        <v>15</v>
      </c>
      <c r="W69" s="5">
        <f>SUM(Table2[[#This Row],[Premissa 1]:[Premissa 8]])</f>
        <v>95</v>
      </c>
      <c r="X69" s="5" t="s">
        <v>9</v>
      </c>
      <c r="Y69" t="s">
        <v>477</v>
      </c>
    </row>
    <row r="70" spans="1:25" ht="15" hidden="1" customHeight="1">
      <c r="A70" s="4">
        <v>7921202014</v>
      </c>
      <c r="B70" s="4" t="e">
        <f>_xlfn.XLOOKUP(Table2[[#This Row],[Ativo]],Joao!B:B,Joao!Z:Z)</f>
        <v>#N/A</v>
      </c>
      <c r="C70" s="5" t="str">
        <f>MID(Table2[[#This Row],[Ativo]],1,2)</f>
        <v>79</v>
      </c>
      <c r="D70" s="5" t="s">
        <v>126</v>
      </c>
      <c r="E70" s="5" t="s">
        <v>97</v>
      </c>
      <c r="F70" s="5" t="s">
        <v>42</v>
      </c>
      <c r="G70" s="4" t="str">
        <f>IFERROR(_xlfn.XLOOKUP(Table2[[#This Row],[Ativo]],Pendentes[COD_RELIGADOR],Pendentes[SS_ORIGINAL]),"CONCLUÍDA")</f>
        <v>ETO-COEP 00132/2026</v>
      </c>
      <c r="H70" s="4" t="s">
        <v>451</v>
      </c>
      <c r="K70" s="4" t="s">
        <v>694</v>
      </c>
      <c r="L70" s="29" t="s">
        <v>480</v>
      </c>
      <c r="M70" s="31">
        <v>1</v>
      </c>
      <c r="N70" t="str">
        <f>IFERROR(_xlfn.XLOOKUP(Table2[[#This Row],[Ativo]],Pendentes[COD_RELIGADOR],Pendentes[DESCRICAO]),"")</f>
        <v>PARECER COEP: EQUIPAMENTO SELECIONADO PARA COMPRA , DEVERIA SER SUBSTITUIDO PARTE ATIVAPARECER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v>
      </c>
      <c r="O70" s="5">
        <v>5</v>
      </c>
      <c r="P70" s="5">
        <v>5</v>
      </c>
      <c r="Q70" s="5">
        <v>5</v>
      </c>
      <c r="R70" s="5">
        <v>0</v>
      </c>
      <c r="S70" s="5">
        <v>0</v>
      </c>
      <c r="T70" s="5">
        <v>10</v>
      </c>
      <c r="U70" s="5">
        <v>0</v>
      </c>
      <c r="V70" s="5">
        <v>0</v>
      </c>
      <c r="W70" s="5">
        <f>SUM(Table2[[#This Row],[Premissa 1]:[Premissa 8]])</f>
        <v>25</v>
      </c>
      <c r="X70" s="5" t="s">
        <v>15</v>
      </c>
      <c r="Y70" t="s">
        <v>322</v>
      </c>
    </row>
    <row r="71" spans="1:25" ht="15" hidden="1" customHeight="1">
      <c r="A71" s="12">
        <v>7922995039</v>
      </c>
      <c r="B71" s="12" t="e">
        <f>_xlfn.XLOOKUP(Table2[[#This Row],[Ativo]],Joao!B:B,Joao!Z:Z)</f>
        <v>#N/A</v>
      </c>
      <c r="C71" s="5" t="str">
        <f>MID(Table2[[#This Row],[Ativo]],1,2)</f>
        <v>79</v>
      </c>
      <c r="D71" s="5" t="s">
        <v>267</v>
      </c>
      <c r="E71" s="5" t="s">
        <v>132</v>
      </c>
      <c r="F71" s="5" t="s">
        <v>51</v>
      </c>
      <c r="G71" s="4" t="str">
        <f>IFERROR(_xlfn.XLOOKUP(Table2[[#This Row],[Ativo]],Pendentes[COD_RELIGADOR],Pendentes[SS_ORIGINAL]),"CONCLUÍDA")</f>
        <v>ETO-PROT 00135/2026</v>
      </c>
      <c r="K71" s="4" t="s">
        <v>522</v>
      </c>
      <c r="L71" s="29"/>
      <c r="M71" s="31"/>
      <c r="N71" t="str">
        <f>IFERROR(_xlfn.XLOOKUP(Table2[[#This Row],[Ativo]],Pendentes[COD_RELIGADOR],Pendentes[DESCRICAO]),"")</f>
        <v>PARECER COEP: Equipamento em operação, instalado com sucesso, segue para Proteção para ajustesPARECER DMSL: Após testes, equipe DMSL constatou que o RLG 7922995039 encontra-se com parte ativa e controle danificados. Favor, realizar substituição completa do equipamento.Troca do sistema de comunicação do equipamento</v>
      </c>
      <c r="O71" s="5">
        <v>5</v>
      </c>
      <c r="P71" s="5">
        <v>5</v>
      </c>
      <c r="Q71" s="5">
        <v>0</v>
      </c>
      <c r="R71" s="5">
        <v>0</v>
      </c>
      <c r="S71" s="5">
        <v>15</v>
      </c>
      <c r="T71" s="5">
        <v>10</v>
      </c>
      <c r="U71" s="5">
        <v>0</v>
      </c>
      <c r="V71" s="5">
        <v>0</v>
      </c>
      <c r="W71" s="5">
        <f>SUM(Table2[[#This Row],[Premissa 1]:[Premissa 8]])</f>
        <v>35</v>
      </c>
      <c r="X71" s="5" t="s">
        <v>14</v>
      </c>
      <c r="Y71" t="s">
        <v>270</v>
      </c>
    </row>
    <row r="72" spans="1:25" ht="15" hidden="1" customHeight="1">
      <c r="A72" s="4">
        <v>7923110021</v>
      </c>
      <c r="B72" s="4" t="e">
        <f>_xlfn.XLOOKUP(Table2[[#This Row],[Ativo]],Joao!B:B,Joao!Z:Z)</f>
        <v>#N/A</v>
      </c>
      <c r="C72" s="5" t="str">
        <f>MID(Table2[[#This Row],[Ativo]],1,2)</f>
        <v>79</v>
      </c>
      <c r="G72" s="4" t="str">
        <f>IFERROR(_xlfn.XLOOKUP(Table2[[#This Row],[Ativo]],Pendentes[COD_RELIGADOR],Pendentes[SS_ORIGINAL]),"CONCLUÍDA")</f>
        <v>ETO-TELE 01027/2026</v>
      </c>
      <c r="H72" s="4" t="s">
        <v>698</v>
      </c>
      <c r="L72" s="29"/>
      <c r="M72" s="31"/>
      <c r="N72" t="str">
        <f>IFERROR(_xlfn.XLOOKUP(Table2[[#This Row],[Ativo]],Pendentes[COD_RELIGADOR],Pendentes[DESCRICAO]),"")</f>
        <v>Segue SS para verificar falha de comunicação no religador 7923110021. Equipe foi no local realizar primeiro ataque e informou que o radio de comunicação encontra-se com defeito</v>
      </c>
      <c r="O72" s="5"/>
      <c r="P72" s="5"/>
      <c r="Q72" s="5"/>
      <c r="R72" s="5"/>
      <c r="S72" s="5"/>
      <c r="T72" s="5"/>
      <c r="U72" s="5"/>
      <c r="V72" s="5"/>
      <c r="W72" s="5">
        <f>SUM(Table2[[#This Row],[Premissa 1]:[Premissa 8]])</f>
        <v>0</v>
      </c>
      <c r="X72" s="5"/>
    </row>
    <row r="73" spans="1:25" ht="15" hidden="1" customHeight="1">
      <c r="A73" s="4">
        <v>7923673004</v>
      </c>
      <c r="B73" s="4" t="e">
        <f>_xlfn.XLOOKUP(Table2[[#This Row],[Ativo]],Joao!B:B,Joao!Z:Z)</f>
        <v>#N/A</v>
      </c>
      <c r="C73" s="5" t="str">
        <f>MID(Table2[[#This Row],[Ativo]],1,2)</f>
        <v>79</v>
      </c>
      <c r="D73" s="5" t="s">
        <v>57</v>
      </c>
      <c r="E73" s="5" t="s">
        <v>57</v>
      </c>
      <c r="F73" s="5" t="s">
        <v>51</v>
      </c>
      <c r="G73" s="4" t="str">
        <f>IFERROR(_xlfn.XLOOKUP(Table2[[#This Row],[Ativo]],Pendentes[COD_RELIGADOR],Pendentes[SS_ORIGINAL]),"CONCLUÍDA")</f>
        <v>ETO-COEP 00124/2026</v>
      </c>
      <c r="H73" s="4" t="s">
        <v>451</v>
      </c>
      <c r="I73" s="4" t="s">
        <v>719</v>
      </c>
      <c r="K73" s="4" t="s">
        <v>694</v>
      </c>
      <c r="L73" s="29" t="s">
        <v>469</v>
      </c>
      <c r="M73" s="31">
        <v>1</v>
      </c>
      <c r="N73" t="str">
        <f>IFERROR(_xlfn.XLOOKUP(Table2[[#This Row],[Ativo]],Pendentes[COD_RELIGADOR],Pendentes[DESCRICAO]),"")</f>
        <v>PARECER COEP: Verificar Disponibilidade de equipamento no Scada e enviar modelo e tensão para a compra.RELIGADOR COM RELÉ DANIFICADO, REALIZAR SUBSTITUIÇÃO</v>
      </c>
      <c r="O73" s="5">
        <v>15</v>
      </c>
      <c r="P73" s="5">
        <v>20</v>
      </c>
      <c r="Q73" s="5">
        <v>15</v>
      </c>
      <c r="R73" s="5">
        <v>15</v>
      </c>
      <c r="S73" s="5">
        <v>15</v>
      </c>
      <c r="T73" s="5">
        <v>10</v>
      </c>
      <c r="U73" s="5">
        <v>0</v>
      </c>
      <c r="V73" s="5">
        <v>15</v>
      </c>
      <c r="W73" s="5">
        <f>SUM(Table2[[#This Row],[Premissa 1]:[Premissa 8]])</f>
        <v>105</v>
      </c>
      <c r="X73" s="5" t="s">
        <v>9</v>
      </c>
      <c r="Y73" t="s">
        <v>60</v>
      </c>
    </row>
    <row r="74" spans="1:25" ht="15" hidden="1" customHeight="1">
      <c r="A74" s="4">
        <v>7923927122</v>
      </c>
      <c r="B74" s="4" t="e">
        <f>_xlfn.XLOOKUP(Table2[[#This Row],[Ativo]],Joao!B:B,Joao!Z:Z)</f>
        <v>#N/A</v>
      </c>
      <c r="C74" s="5" t="str">
        <f>MID(Table2[[#This Row],[Ativo]],1,2)</f>
        <v>79</v>
      </c>
      <c r="D74" s="5" t="s">
        <v>68</v>
      </c>
      <c r="E74" s="5" t="s">
        <v>68</v>
      </c>
      <c r="F74" s="5" t="s">
        <v>42</v>
      </c>
      <c r="G74" s="4" t="str">
        <f>IFERROR(_xlfn.XLOOKUP(Table2[[#This Row],[Ativo]],Pendentes[COD_RELIGADOR],Pendentes[SS_ORIGINAL]),"CONCLUÍDA")</f>
        <v>ETO-COEP 00148/2026</v>
      </c>
      <c r="H74" s="4" t="s">
        <v>451</v>
      </c>
      <c r="K74" s="4" t="s">
        <v>694</v>
      </c>
      <c r="L74" s="29" t="s">
        <v>480</v>
      </c>
      <c r="M74" s="31">
        <v>1</v>
      </c>
      <c r="N74" t="str">
        <f>IFERROR(_xlfn.XLOOKUP(Table2[[#This Row],[Ativo]],Pendentes[COD_RELIGADOR],Pendentes[DESCRICAO]),"")</f>
        <v>PARECER DMSL 16/07: Nota solicitada ao DMSL com a informação de que o tanque precisa ser substituído. Estou encaminhando a nota para a área responsável.Segue nota para envia manutenção substituir tanque do RL-7923927122 em curto, Anomalia identificada desarme das LD, s Palmas / Aparecida e Palmas Taquaruçu, Acesso livre, Tensão 34,5kv, Local RL de Interligação entre 424R / 414R.</v>
      </c>
      <c r="O74" s="5">
        <v>15</v>
      </c>
      <c r="P74" s="5">
        <v>0</v>
      </c>
      <c r="Q74" s="5">
        <v>0</v>
      </c>
      <c r="R74" s="5">
        <v>0</v>
      </c>
      <c r="S74" s="5">
        <v>0</v>
      </c>
      <c r="T74" s="5">
        <v>10</v>
      </c>
      <c r="U74" s="5">
        <v>0</v>
      </c>
      <c r="V74" s="5">
        <v>0</v>
      </c>
      <c r="W74" s="5">
        <f>SUM(Table2[[#This Row],[Premissa 1]:[Premissa 8]])</f>
        <v>25</v>
      </c>
      <c r="X74" s="5" t="s">
        <v>15</v>
      </c>
      <c r="Y74" t="s">
        <v>314</v>
      </c>
    </row>
    <row r="75" spans="1:25" ht="15" customHeight="1">
      <c r="A75" s="4">
        <v>7925087021</v>
      </c>
      <c r="B75" s="4" t="str">
        <f>_xlfn.XLOOKUP(Table2[[#This Row],[Ativo]],Joao!B:B,Joao!Z:Z)</f>
        <v>ETO-RD-GU 1391/2026 (atrasada) Aguardando previsão de substituição</v>
      </c>
      <c r="C75" s="5" t="str">
        <f>MID(Table2[[#This Row],[Ativo]],1,2)</f>
        <v>79</v>
      </c>
      <c r="D75" s="5" t="s">
        <v>176</v>
      </c>
      <c r="E75" s="5" t="s">
        <v>177</v>
      </c>
      <c r="F75" s="5" t="s">
        <v>76</v>
      </c>
      <c r="G75" s="4" t="str">
        <f>IFERROR(_xlfn.XLOOKUP(Table2[[#This Row],[Ativo]],Pendentes[COD_RELIGADOR],Pendentes[SS_ORIGINAL]),"CONCLUÍDA")</f>
        <v>ETO-PROT 00152/2026</v>
      </c>
      <c r="H75" s="4" t="s">
        <v>471</v>
      </c>
      <c r="I75" s="38"/>
      <c r="J75" s="38"/>
      <c r="K75" s="4" t="s">
        <v>443</v>
      </c>
      <c r="L75" s="29" t="s">
        <v>480</v>
      </c>
      <c r="M75" s="31">
        <v>1</v>
      </c>
      <c r="N75" t="str">
        <f>IFERROR(_xlfn.XLOOKUP(Table2[[#This Row],[Ativo]],Pendentes[COD_RELIGADOR],Pendentes[DESCRICAO]),"")</f>
        <v>10/07 PARECER COEP: EQUIPAMENTO ENTREGUE AOS COCM´S FAVOR INFORMAR PRAZO DE SUBSTUIÇÃO PARA O DMSL E REPASSAR DEPOIS PARA PROTEÇÃO REALIZAR OS AJUSTES E DESCREVER NA SS O SERVIÇO REALIZADOPARECER COEP: EM ROTA DE ENTREGA, VERIFICAR PREVISÃO DE CHEGADARealizar a substituição do tanque do equipamento.</v>
      </c>
      <c r="O75" s="5">
        <v>15</v>
      </c>
      <c r="P75" s="5">
        <v>10</v>
      </c>
      <c r="Q75" s="5">
        <v>5</v>
      </c>
      <c r="R75" s="5">
        <v>0</v>
      </c>
      <c r="S75" s="5">
        <v>15</v>
      </c>
      <c r="T75" s="5">
        <v>10</v>
      </c>
      <c r="U75" s="5">
        <v>0</v>
      </c>
      <c r="V75" s="5">
        <v>15</v>
      </c>
      <c r="W75" s="5">
        <f>SUM(Table2[[#This Row],[Premissa 1]:[Premissa 8]])</f>
        <v>70</v>
      </c>
      <c r="X75" s="5" t="s">
        <v>13</v>
      </c>
      <c r="Y75" t="s">
        <v>180</v>
      </c>
    </row>
    <row r="76" spans="1:25" ht="15" hidden="1" customHeight="1">
      <c r="A76" s="4">
        <v>7925713040</v>
      </c>
      <c r="B76" s="4" t="e">
        <f>_xlfn.XLOOKUP(Table2[[#This Row],[Ativo]],Joao!B:B,Joao!Z:Z)</f>
        <v>#N/A</v>
      </c>
      <c r="C76" s="5" t="str">
        <f>MID(Table2[[#This Row],[Ativo]],1,2)</f>
        <v>79</v>
      </c>
      <c r="D76" s="5" t="s">
        <v>492</v>
      </c>
      <c r="E76" s="5" t="s">
        <v>57</v>
      </c>
      <c r="F76" s="5" t="s">
        <v>51</v>
      </c>
      <c r="G76" s="4" t="str">
        <f>IFERROR(_xlfn.XLOOKUP(Table2[[#This Row],[Ativo]],Pendentes[COD_RELIGADOR],Pendentes[SS_ORIGINAL]),"CONCLUÍDA")</f>
        <v>CONCLUÍDA</v>
      </c>
      <c r="L76" s="29"/>
      <c r="M76" s="31"/>
      <c r="N76" t="str">
        <f>IFERROR(_xlfn.XLOOKUP(Table2[[#This Row],[Ativo]],Pendentes[COD_RELIGADOR],Pendentes[DESCRICAO]),"")</f>
        <v/>
      </c>
      <c r="O76" s="5" t="s">
        <v>696</v>
      </c>
      <c r="P76" s="5"/>
      <c r="Q76" s="5"/>
      <c r="R76" s="5"/>
      <c r="S76" s="5"/>
      <c r="T76" s="5"/>
      <c r="U76" s="5"/>
      <c r="V76" s="5"/>
      <c r="W76" s="5">
        <f>SUM(Table2[[#This Row],[Premissa 1]:[Premissa 8]])</f>
        <v>0</v>
      </c>
      <c r="X76" s="5"/>
    </row>
    <row r="77" spans="1:25" ht="15" hidden="1" customHeight="1">
      <c r="A77" s="4">
        <v>7925733015</v>
      </c>
      <c r="B77" s="4" t="e">
        <f>_xlfn.XLOOKUP(Table2[[#This Row],[Ativo]],Joao!B:B,Joao!Z:Z)</f>
        <v>#N/A</v>
      </c>
      <c r="C77" s="5" t="str">
        <f>MID(Table2[[#This Row],[Ativo]],1,2)</f>
        <v>79</v>
      </c>
      <c r="D77" s="5" t="s">
        <v>283</v>
      </c>
      <c r="E77" s="5" t="s">
        <v>50</v>
      </c>
      <c r="F77" s="5" t="s">
        <v>51</v>
      </c>
      <c r="G77" s="4" t="str">
        <f>IFERROR(_xlfn.XLOOKUP(Table2[[#This Row],[Ativo]],Pendentes[COD_RELIGADOR],Pendentes[SS_ORIGINAL]),"CONCLUÍDA")</f>
        <v>ETO-COEP 00058/2026</v>
      </c>
      <c r="H77" s="4" t="s">
        <v>451</v>
      </c>
      <c r="K77" s="4" t="s">
        <v>694</v>
      </c>
      <c r="L77" s="29" t="s">
        <v>480</v>
      </c>
      <c r="M77" s="31">
        <v>1</v>
      </c>
      <c r="N77" t="str">
        <f>IFERROR(_xlfn.XLOOKUP(Table2[[#This Row],[Ativo]],Pendentes[COD_RELIGADOR],Pendentes[DESCRICAO]),"")</f>
        <v>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v>
      </c>
      <c r="O77" s="5">
        <v>5</v>
      </c>
      <c r="P77" s="5">
        <v>5</v>
      </c>
      <c r="Q77" s="5">
        <v>0</v>
      </c>
      <c r="R77" s="5">
        <v>0</v>
      </c>
      <c r="S77" s="5">
        <v>15</v>
      </c>
      <c r="T77" s="5">
        <v>10</v>
      </c>
      <c r="U77" s="5">
        <v>0</v>
      </c>
      <c r="V77" s="5">
        <v>0</v>
      </c>
      <c r="W77" s="5">
        <f>SUM(Table2[[#This Row],[Premissa 1]:[Premissa 8]])</f>
        <v>35</v>
      </c>
      <c r="X77" s="5" t="s">
        <v>14</v>
      </c>
      <c r="Y77" t="s">
        <v>286</v>
      </c>
    </row>
    <row r="78" spans="1:25" ht="15" hidden="1" customHeight="1">
      <c r="A78" s="4">
        <v>7925744087</v>
      </c>
      <c r="B78" s="4" t="e">
        <f>_xlfn.XLOOKUP(Table2[[#This Row],[Ativo]],Joao!B:B,Joao!Z:Z)</f>
        <v>#N/A</v>
      </c>
      <c r="C78" s="5" t="str">
        <f>MID(Table2[[#This Row],[Ativo]],1,2)</f>
        <v>79</v>
      </c>
      <c r="D78" s="5" t="s">
        <v>91</v>
      </c>
      <c r="E78" s="5" t="s">
        <v>50</v>
      </c>
      <c r="F78" s="5" t="s">
        <v>51</v>
      </c>
      <c r="G78" s="4" t="str">
        <f>IFERROR(_xlfn.XLOOKUP(Table2[[#This Row],[Ativo]],Pendentes[COD_RELIGADOR],Pendentes[SS_ORIGINAL]),"CONCLUÍDA")</f>
        <v>ETO-COEP 00059/2026</v>
      </c>
      <c r="H78" s="4" t="s">
        <v>451</v>
      </c>
      <c r="I78" s="4" t="s">
        <v>464</v>
      </c>
      <c r="K78" s="4" t="s">
        <v>694</v>
      </c>
      <c r="L78" s="29" t="s">
        <v>465</v>
      </c>
      <c r="M78" s="31">
        <v>1</v>
      </c>
      <c r="N78" t="str">
        <f>IFERROR(_xlfn.XLOOKUP(Table2[[#This Row],[Ativo]],Pendentes[COD_RELIGADOR],Pendentes[DESCRICAO]),"")</f>
        <v>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v>
      </c>
      <c r="O78" s="5">
        <v>15</v>
      </c>
      <c r="P78" s="5">
        <v>20</v>
      </c>
      <c r="Q78" s="5">
        <v>5</v>
      </c>
      <c r="R78" s="5">
        <v>15</v>
      </c>
      <c r="S78" s="5">
        <v>15</v>
      </c>
      <c r="T78" s="5">
        <v>10</v>
      </c>
      <c r="U78" s="5">
        <v>0</v>
      </c>
      <c r="V78" s="5">
        <v>15</v>
      </c>
      <c r="W78" s="5">
        <f>SUM(Table2[[#This Row],[Premissa 1]:[Premissa 8]])</f>
        <v>95</v>
      </c>
      <c r="X78" s="5" t="s">
        <v>9</v>
      </c>
      <c r="Y78" t="s">
        <v>94</v>
      </c>
    </row>
    <row r="79" spans="1:25" ht="15" hidden="1" customHeight="1">
      <c r="A79" s="4">
        <v>7925871077</v>
      </c>
      <c r="B79" s="4" t="e">
        <f>_xlfn.XLOOKUP(Table2[[#This Row],[Ativo]],Joao!B:B,Joao!Z:Z)</f>
        <v>#N/A</v>
      </c>
      <c r="C79" s="5" t="str">
        <f>MID(Table2[[#This Row],[Ativo]],1,2)</f>
        <v>79</v>
      </c>
      <c r="D79" s="5" t="s">
        <v>144</v>
      </c>
      <c r="E79" s="5" t="s">
        <v>57</v>
      </c>
      <c r="F79" s="5" t="s">
        <v>51</v>
      </c>
      <c r="G79" s="4" t="str">
        <f>IFERROR(_xlfn.XLOOKUP(Table2[[#This Row],[Ativo]],Pendentes[COD_RELIGADOR],Pendentes[SS_ORIGINAL]),"CONCLUÍDA")</f>
        <v>ETO-COEP 00048/2026</v>
      </c>
      <c r="H79" s="4" t="s">
        <v>451</v>
      </c>
      <c r="K79" s="4" t="s">
        <v>694</v>
      </c>
      <c r="L79" s="29" t="s">
        <v>480</v>
      </c>
      <c r="M79" s="31">
        <v>1</v>
      </c>
      <c r="N79" t="str">
        <f>IFERROR(_xlfn.XLOOKUP(Table2[[#This Row],[Ativo]],Pendentes[COD_RELIGADOR],Pendentes[DESCRICAO]),"")</f>
        <v>30/06 PARECER COEP: AGUARDANDO RETORNO DO DMSLPARECER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v>
      </c>
      <c r="O79" s="5">
        <v>15</v>
      </c>
      <c r="P79" s="5">
        <v>10</v>
      </c>
      <c r="Q79" s="5">
        <v>15</v>
      </c>
      <c r="R79" s="5">
        <v>15</v>
      </c>
      <c r="S79" s="5">
        <v>15</v>
      </c>
      <c r="T79" s="5">
        <v>10</v>
      </c>
      <c r="U79" s="5">
        <v>0</v>
      </c>
      <c r="V79" s="5">
        <v>0</v>
      </c>
      <c r="W79" s="5">
        <f>SUM(Table2[[#This Row],[Premissa 1]:[Premissa 8]])</f>
        <v>80</v>
      </c>
      <c r="X79" s="5" t="s">
        <v>9</v>
      </c>
      <c r="Y79" t="s">
        <v>147</v>
      </c>
    </row>
    <row r="80" spans="1:25" ht="15" hidden="1" customHeight="1">
      <c r="A80" s="4">
        <v>7926089013</v>
      </c>
      <c r="B80" s="4" t="e">
        <f>_xlfn.XLOOKUP(Table2[[#This Row],[Ativo]],Joao!B:B,Joao!Z:Z)</f>
        <v>#N/A</v>
      </c>
      <c r="C80" s="5" t="str">
        <f>MID(Table2[[#This Row],[Ativo]],1,2)</f>
        <v>79</v>
      </c>
      <c r="D80" s="5" t="s">
        <v>97</v>
      </c>
      <c r="E80" s="5" t="s">
        <v>97</v>
      </c>
      <c r="F80" s="5" t="s">
        <v>42</v>
      </c>
      <c r="G80" s="4" t="str">
        <f>IFERROR(_xlfn.XLOOKUP(Table2[[#This Row],[Ativo]],Pendentes[COD_RELIGADOR],Pendentes[SS_ORIGINAL]),"CONCLUÍDA")</f>
        <v>ETO-COEP 00078/2026</v>
      </c>
      <c r="H80" s="4" t="s">
        <v>451</v>
      </c>
      <c r="K80" s="4" t="s">
        <v>694</v>
      </c>
      <c r="L80" s="29" t="s">
        <v>480</v>
      </c>
      <c r="M80" s="31">
        <v>1</v>
      </c>
      <c r="N80" t="str">
        <f>IFERROR(_xlfn.XLOOKUP(Table2[[#This Row],[Ativo]],Pendentes[COD_RELIGADOR],Pendentes[DESCRICAO]),"")</f>
        <v>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v>
      </c>
      <c r="O80" s="5">
        <v>15</v>
      </c>
      <c r="P80" s="5">
        <v>10</v>
      </c>
      <c r="Q80" s="5">
        <v>5</v>
      </c>
      <c r="R80" s="5">
        <v>15</v>
      </c>
      <c r="S80" s="5">
        <v>15</v>
      </c>
      <c r="T80" s="5">
        <v>10</v>
      </c>
      <c r="U80" s="5">
        <v>0</v>
      </c>
      <c r="V80" s="5">
        <v>0</v>
      </c>
      <c r="W80" s="5">
        <f>SUM(Table2[[#This Row],[Premissa 1]:[Premissa 8]])</f>
        <v>70</v>
      </c>
      <c r="X80" s="5" t="s">
        <v>13</v>
      </c>
      <c r="Y80" t="s">
        <v>174</v>
      </c>
    </row>
    <row r="81" spans="1:25" ht="15" hidden="1" customHeight="1">
      <c r="A81" s="4">
        <v>7926442035</v>
      </c>
      <c r="B81" s="4" t="e">
        <f>_xlfn.XLOOKUP(Table2[[#This Row],[Ativo]],Joao!B:B,Joao!Z:Z)</f>
        <v>#N/A</v>
      </c>
      <c r="C81" s="5" t="str">
        <f>MID(Table2[[#This Row],[Ativo]],1,2)</f>
        <v>79</v>
      </c>
      <c r="D81" s="5" t="s">
        <v>234</v>
      </c>
      <c r="E81" s="5" t="s">
        <v>108</v>
      </c>
      <c r="F81" s="5" t="s">
        <v>42</v>
      </c>
      <c r="G81" s="4" t="str">
        <f>IFERROR(_xlfn.XLOOKUP(Table2[[#This Row],[Ativo]],Pendentes[COD_RELIGADOR],Pendentes[SS_ORIGINAL]),"CONCLUÍDA")</f>
        <v>ETO-COEP 00051/2026</v>
      </c>
      <c r="H81" s="4" t="s">
        <v>451</v>
      </c>
      <c r="I81" s="4" t="s">
        <v>718</v>
      </c>
      <c r="K81" s="4" t="s">
        <v>694</v>
      </c>
      <c r="L81" s="29" t="s">
        <v>720</v>
      </c>
      <c r="M81" s="31">
        <v>1</v>
      </c>
      <c r="N81" t="str">
        <f>IFERROR(_xlfn.XLOOKUP(Table2[[#This Row],[Ativo]],Pendentes[COD_RELIGADOR],Pendentes[DESCRICAO]),"")</f>
        <v>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v>
      </c>
      <c r="O81" s="5">
        <v>5</v>
      </c>
      <c r="P81" s="5">
        <v>5</v>
      </c>
      <c r="Q81" s="5">
        <v>0</v>
      </c>
      <c r="R81" s="5">
        <v>0</v>
      </c>
      <c r="S81" s="5">
        <v>0</v>
      </c>
      <c r="T81" s="5">
        <v>0</v>
      </c>
      <c r="U81" s="5">
        <v>10</v>
      </c>
      <c r="V81" s="5">
        <v>0</v>
      </c>
      <c r="W81" s="5">
        <f>SUM(Table2[[#This Row],[Premissa 1]:[Premissa 8]])</f>
        <v>20</v>
      </c>
      <c r="X81" s="5" t="s">
        <v>15</v>
      </c>
      <c r="Y81" t="s">
        <v>353</v>
      </c>
    </row>
    <row r="82" spans="1:25" ht="15" customHeight="1">
      <c r="A82" s="4">
        <v>7927169001</v>
      </c>
      <c r="B82" s="4">
        <f>_xlfn.XLOOKUP(Table2[[#This Row],[Ativo]],Joao!B:B,Joao!Z:Z)</f>
        <v>0</v>
      </c>
      <c r="C82" s="5" t="str">
        <f>MID(Table2[[#This Row],[Ativo]],1,2)</f>
        <v>79</v>
      </c>
      <c r="D82" s="5" t="s">
        <v>41</v>
      </c>
      <c r="E82" s="5" t="s">
        <v>41</v>
      </c>
      <c r="F82" s="5" t="s">
        <v>42</v>
      </c>
      <c r="G82" s="4" t="str">
        <f>IFERROR(_xlfn.XLOOKUP(Table2[[#This Row],[Ativo]],Pendentes[COD_RELIGADOR],Pendentes[SS_ORIGINAL]),"CONCLUÍDA")</f>
        <v>ETO-PROT 00156/2026</v>
      </c>
      <c r="H82" s="4" t="s">
        <v>471</v>
      </c>
      <c r="I82" s="38"/>
      <c r="J82" s="38"/>
      <c r="K82" s="4" t="s">
        <v>443</v>
      </c>
      <c r="L82" s="29" t="s">
        <v>480</v>
      </c>
      <c r="M82" s="31"/>
      <c r="N82" t="str">
        <f>IFERROR(_xlfn.XLOOKUP(Table2[[#This Row],[Ativo]],Pendentes[COD_RELIGADOR],Pendentes[DESCRICAO]),"")</f>
        <v>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 Parecer COCM******Subsituido Tranque do RL pela Ordem de Serviço DLP-MPPA01 247/2026 RELATORIO EM ANEXO DA O.S EXECUTORA</v>
      </c>
      <c r="O82" s="5">
        <v>5</v>
      </c>
      <c r="P82" s="5">
        <v>5</v>
      </c>
      <c r="Q82" s="5">
        <v>15</v>
      </c>
      <c r="R82" s="5">
        <v>0</v>
      </c>
      <c r="S82" s="5">
        <v>15</v>
      </c>
      <c r="T82" s="5">
        <v>0</v>
      </c>
      <c r="U82" s="5">
        <v>0</v>
      </c>
      <c r="V82" s="5">
        <v>15</v>
      </c>
      <c r="W82" s="5">
        <f>SUM(Table2[[#This Row],[Premissa 1]:[Premissa 8]])</f>
        <v>55</v>
      </c>
      <c r="X82" s="5" t="s">
        <v>13</v>
      </c>
      <c r="Y82" t="s">
        <v>232</v>
      </c>
    </row>
    <row r="83" spans="1:25" ht="15" hidden="1" customHeight="1">
      <c r="A83" s="4">
        <v>7927396052</v>
      </c>
      <c r="B83" s="4" t="e">
        <f>_xlfn.XLOOKUP(Table2[[#This Row],[Ativo]],Joao!B:B,Joao!Z:Z)</f>
        <v>#N/A</v>
      </c>
      <c r="C83" s="5" t="str">
        <f>MID(Table2[[#This Row],[Ativo]],1,2)</f>
        <v>79</v>
      </c>
      <c r="D83" s="5" t="s">
        <v>192</v>
      </c>
      <c r="E83" s="5" t="s">
        <v>192</v>
      </c>
      <c r="F83" s="5" t="s">
        <v>76</v>
      </c>
      <c r="G83" s="4" t="str">
        <f>IFERROR(_xlfn.XLOOKUP(Table2[[#This Row],[Ativo]],Pendentes[COD_RELIGADOR],Pendentes[SS_ORIGINAL]),"CONCLUÍDA")</f>
        <v>ETO-COEP 00045/2026</v>
      </c>
      <c r="H83" s="4" t="s">
        <v>451</v>
      </c>
      <c r="K83" s="4" t="s">
        <v>694</v>
      </c>
      <c r="L83" s="29" t="s">
        <v>480</v>
      </c>
      <c r="M83" s="31">
        <v>1</v>
      </c>
      <c r="N83" t="str">
        <f>IFERROR(_xlfn.XLOOKUP(Table2[[#This Row],[Ativo]],Pendentes[COD_RELIGADOR],Pendentes[DESCRICAO]),"")</f>
        <v>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v>
      </c>
      <c r="O83" s="5">
        <v>5</v>
      </c>
      <c r="P83" s="5">
        <v>5</v>
      </c>
      <c r="Q83" s="5">
        <v>0</v>
      </c>
      <c r="R83" s="5">
        <v>0</v>
      </c>
      <c r="S83" s="5">
        <v>15</v>
      </c>
      <c r="T83" s="5">
        <v>10</v>
      </c>
      <c r="U83" s="5">
        <v>0</v>
      </c>
      <c r="V83" s="5">
        <v>0</v>
      </c>
      <c r="W83" s="5">
        <f>SUM(Table2[[#This Row],[Premissa 1]:[Premissa 8]])</f>
        <v>35</v>
      </c>
      <c r="X83" s="5" t="s">
        <v>14</v>
      </c>
      <c r="Y83" t="s">
        <v>281</v>
      </c>
    </row>
    <row r="84" spans="1:25" ht="15" hidden="1" customHeight="1">
      <c r="A84" s="4">
        <v>7927413001</v>
      </c>
      <c r="B84" s="4" t="e">
        <f>_xlfn.XLOOKUP(Table2[[#This Row],[Ativo]],Joao!B:B,Joao!Z:Z)</f>
        <v>#N/A</v>
      </c>
      <c r="C84" s="5" t="str">
        <f>MID(Table2[[#This Row],[Ativo]],1,2)</f>
        <v>79</v>
      </c>
      <c r="D84" s="5" t="s">
        <v>41</v>
      </c>
      <c r="E84" s="5" t="s">
        <v>41</v>
      </c>
      <c r="F84" s="5" t="s">
        <v>42</v>
      </c>
      <c r="G84" s="4" t="str">
        <f>IFERROR(_xlfn.XLOOKUP(Table2[[#This Row],[Ativo]],Pendentes[COD_RELIGADOR],Pendentes[SS_ORIGINAL]),"CONCLUÍDA")</f>
        <v>ETO-COEP 00141/2026</v>
      </c>
      <c r="H84" s="4" t="s">
        <v>451</v>
      </c>
      <c r="K84" s="4" t="s">
        <v>694</v>
      </c>
      <c r="L84" s="29" t="s">
        <v>469</v>
      </c>
      <c r="M84" s="31">
        <v>1</v>
      </c>
      <c r="N84" t="str">
        <f>IFERROR(_xlfn.XLOOKUP(Table2[[#This Row],[Ativo]],Pendentes[COD_RELIGADOR],Pendentes[DESCRICAO]),"")</f>
        <v>22/07/2026 EQUIPAMENTO SLEECIONADO PARA COMPRAPARECER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v>
      </c>
      <c r="O84" s="5">
        <v>15</v>
      </c>
      <c r="P84" s="5">
        <v>5</v>
      </c>
      <c r="Q84" s="5">
        <v>15</v>
      </c>
      <c r="R84" s="5">
        <v>15</v>
      </c>
      <c r="S84" s="5">
        <v>15</v>
      </c>
      <c r="T84" s="5">
        <v>10</v>
      </c>
      <c r="U84" s="5">
        <v>0</v>
      </c>
      <c r="V84" s="5">
        <v>15</v>
      </c>
      <c r="W84" s="5">
        <f>SUM(Table2[[#This Row],[Premissa 1]:[Premissa 8]])</f>
        <v>90</v>
      </c>
      <c r="X84" s="5" t="s">
        <v>9</v>
      </c>
      <c r="Y84" t="s">
        <v>123</v>
      </c>
    </row>
    <row r="85" spans="1:25" ht="15" hidden="1" customHeight="1">
      <c r="A85" s="4">
        <v>7927446001</v>
      </c>
      <c r="B85" s="4" t="e">
        <f>_xlfn.XLOOKUP(Table2[[#This Row],[Ativo]],Joao!B:B,Joao!Z:Z)</f>
        <v>#N/A</v>
      </c>
      <c r="C85" s="5" t="str">
        <f>MID(Table2[[#This Row],[Ativo]],1,2)</f>
        <v>79</v>
      </c>
      <c r="D85" s="5" t="s">
        <v>41</v>
      </c>
      <c r="E85" s="5" t="s">
        <v>41</v>
      </c>
      <c r="F85" s="5" t="s">
        <v>42</v>
      </c>
      <c r="G85" s="4" t="str">
        <f>IFERROR(_xlfn.XLOOKUP(Table2[[#This Row],[Ativo]],Pendentes[COD_RELIGADOR],Pendentes[SS_ORIGINAL]),"CONCLUÍDA")</f>
        <v>ETO-COEP 00143/2025</v>
      </c>
      <c r="H85" s="4" t="s">
        <v>451</v>
      </c>
      <c r="K85" s="4" t="s">
        <v>694</v>
      </c>
      <c r="L85" s="29" t="s">
        <v>469</v>
      </c>
      <c r="M85" s="31">
        <v>1</v>
      </c>
      <c r="N85" t="str">
        <f>IFERROR(_xlfn.XLOOKUP(Table2[[#This Row],[Ativo]],Pendentes[COD_RELIGADOR],Pendentes[DESCRICAO]),"")</f>
        <v>30/06 PARECER COEP: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v>
      </c>
      <c r="O85" s="5">
        <v>5</v>
      </c>
      <c r="P85" s="5">
        <v>5</v>
      </c>
      <c r="Q85" s="5">
        <v>5</v>
      </c>
      <c r="R85" s="5">
        <v>0</v>
      </c>
      <c r="S85" s="5">
        <v>0</v>
      </c>
      <c r="T85" s="5">
        <v>10</v>
      </c>
      <c r="U85" s="5">
        <v>0</v>
      </c>
      <c r="V85" s="5">
        <v>0</v>
      </c>
      <c r="W85" s="5">
        <f>SUM(Table2[[#This Row],[Premissa 1]:[Premissa 8]])</f>
        <v>25</v>
      </c>
      <c r="X85" s="5" t="s">
        <v>15</v>
      </c>
      <c r="Y85" t="s">
        <v>325</v>
      </c>
    </row>
    <row r="86" spans="1:25" ht="15" hidden="1" customHeight="1">
      <c r="A86" s="4">
        <v>7927646026</v>
      </c>
      <c r="B86" s="4" t="e">
        <f>_xlfn.XLOOKUP(Table2[[#This Row],[Ativo]],Joao!B:B,Joao!Z:Z)</f>
        <v>#N/A</v>
      </c>
      <c r="C86" s="5" t="str">
        <f>MID(Table2[[#This Row],[Ativo]],1,2)</f>
        <v>79</v>
      </c>
      <c r="D86" s="5" t="s">
        <v>108</v>
      </c>
      <c r="E86" s="5" t="s">
        <v>108</v>
      </c>
      <c r="F86" s="5" t="s">
        <v>42</v>
      </c>
      <c r="G86" s="4" t="str">
        <f>IFERROR(_xlfn.XLOOKUP(Table2[[#This Row],[Ativo]],Pendentes[COD_RELIGADOR],Pendentes[SS_ORIGINAL]),"CONCLUÍDA")</f>
        <v>ETO-COEP 00029/2026</v>
      </c>
      <c r="H86" s="4" t="s">
        <v>451</v>
      </c>
      <c r="K86" s="4" t="s">
        <v>694</v>
      </c>
      <c r="L86" s="29" t="s">
        <v>480</v>
      </c>
      <c r="M86" s="31">
        <v>1</v>
      </c>
      <c r="N86" t="str">
        <f>IFERROR(_xlfn.XLOOKUP(Table2[[#This Row],[Ativo]],Pendentes[COD_RELIGADOR],Pendentes[DESCRICAO]),"")</f>
        <v>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v>
      </c>
      <c r="O86" s="5">
        <v>15</v>
      </c>
      <c r="P86" s="5">
        <v>10</v>
      </c>
      <c r="Q86" s="5">
        <v>5</v>
      </c>
      <c r="R86" s="5">
        <v>0</v>
      </c>
      <c r="S86" s="5">
        <v>15</v>
      </c>
      <c r="T86" s="5">
        <v>0</v>
      </c>
      <c r="U86" s="5">
        <v>10</v>
      </c>
      <c r="V86" s="5">
        <v>0</v>
      </c>
      <c r="W86" s="5">
        <f>SUM(Table2[[#This Row],[Premissa 1]:[Premissa 8]])</f>
        <v>55</v>
      </c>
      <c r="X86" s="5" t="s">
        <v>13</v>
      </c>
      <c r="Y86" t="s">
        <v>229</v>
      </c>
    </row>
    <row r="87" spans="1:25" ht="15" hidden="1" customHeight="1">
      <c r="A87" s="4">
        <v>7927713200</v>
      </c>
      <c r="B87" s="4" t="e">
        <f>_xlfn.XLOOKUP(Table2[[#This Row],[Ativo]],Joao!B:B,Joao!Z:Z)</f>
        <v>#N/A</v>
      </c>
      <c r="C87" s="5" t="str">
        <f>MID(Table2[[#This Row],[Ativo]],1,2)</f>
        <v>79</v>
      </c>
      <c r="D87" s="5" t="s">
        <v>327</v>
      </c>
      <c r="E87" s="5" t="s">
        <v>177</v>
      </c>
      <c r="F87" s="5" t="s">
        <v>76</v>
      </c>
      <c r="G87" s="4" t="str">
        <f>IFERROR(_xlfn.XLOOKUP(Table2[[#This Row],[Ativo]],Pendentes[COD_RELIGADOR],Pendentes[SS_ORIGINAL]),"CONCLUÍDA")</f>
        <v>CONCLUÍDA</v>
      </c>
      <c r="H87" s="11" t="s">
        <v>451</v>
      </c>
      <c r="I87" s="4" t="s">
        <v>716</v>
      </c>
      <c r="K87" s="4" t="s">
        <v>694</v>
      </c>
      <c r="L87" s="29" t="s">
        <v>480</v>
      </c>
      <c r="M87" s="31">
        <v>1</v>
      </c>
      <c r="N87" t="str">
        <f>IFERROR(_xlfn.XLOOKUP(Table2[[#This Row],[Ativo]],Pendentes[COD_RELIGADOR],Pendentes[DESCRICAO]),"")</f>
        <v/>
      </c>
      <c r="O87" s="5">
        <v>5</v>
      </c>
      <c r="P87" s="5">
        <v>5</v>
      </c>
      <c r="Q87" s="5">
        <v>5</v>
      </c>
      <c r="R87" s="5">
        <v>0</v>
      </c>
      <c r="S87" s="5">
        <v>15</v>
      </c>
      <c r="T87" s="5">
        <v>10</v>
      </c>
      <c r="U87" s="5">
        <v>0</v>
      </c>
      <c r="V87" s="5">
        <v>0</v>
      </c>
      <c r="W87" s="5">
        <f>SUM(Table2[[#This Row],[Premissa 1]:[Premissa 8]])</f>
        <v>40</v>
      </c>
      <c r="X87" s="5" t="s">
        <v>14</v>
      </c>
      <c r="Y87" t="s">
        <v>518</v>
      </c>
    </row>
    <row r="88" spans="1:25" ht="15" hidden="1" customHeight="1">
      <c r="A88" s="4">
        <v>7928241200</v>
      </c>
      <c r="B88" s="4" t="e">
        <f>_xlfn.XLOOKUP(Table2[[#This Row],[Ativo]],Joao!B:B,Joao!Z:Z)</f>
        <v>#N/A</v>
      </c>
      <c r="C88" s="5" t="str">
        <f>MID(Table2[[#This Row],[Ativo]],1,2)</f>
        <v>79</v>
      </c>
      <c r="D88" s="5" t="s">
        <v>327</v>
      </c>
      <c r="E88" s="5" t="s">
        <v>177</v>
      </c>
      <c r="F88" s="5" t="s">
        <v>76</v>
      </c>
      <c r="G88" s="4" t="str">
        <f>IFERROR(_xlfn.XLOOKUP(Table2[[#This Row],[Ativo]],Pendentes[COD_RELIGADOR],Pendentes[SS_ORIGINAL]),"CONCLUÍDA")</f>
        <v>ETO-COEP 00128/2026</v>
      </c>
      <c r="H88" s="4" t="s">
        <v>451</v>
      </c>
      <c r="K88" s="4" t="s">
        <v>694</v>
      </c>
      <c r="L88" s="29" t="s">
        <v>480</v>
      </c>
      <c r="M88" s="31">
        <v>1</v>
      </c>
      <c r="N88" t="str">
        <f>IFERROR(_xlfn.XLOOKUP(Table2[[#This Row],[Ativo]],Pendentes[COD_RELIGADOR],Pendentes[DESCRICAO]),"")</f>
        <v>PARECER COEP: EQUIPAMENTO SELECIONADO  PARA COMPRAPARECER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v>
      </c>
      <c r="O88" s="5">
        <v>5</v>
      </c>
      <c r="P88" s="5">
        <v>5</v>
      </c>
      <c r="Q88" s="5">
        <v>5</v>
      </c>
      <c r="R88" s="5">
        <v>0</v>
      </c>
      <c r="S88" s="5">
        <v>0</v>
      </c>
      <c r="T88" s="5">
        <v>10</v>
      </c>
      <c r="U88" s="5">
        <v>0</v>
      </c>
      <c r="V88" s="5">
        <v>0</v>
      </c>
      <c r="W88" s="5">
        <f>SUM(Table2[[#This Row],[Premissa 1]:[Premissa 8]])</f>
        <v>25</v>
      </c>
      <c r="X88" s="5" t="s">
        <v>15</v>
      </c>
      <c r="Y88" t="s">
        <v>330</v>
      </c>
    </row>
    <row r="89" spans="1:25" ht="15" hidden="1" customHeight="1">
      <c r="A89" s="4">
        <v>7928564039</v>
      </c>
      <c r="B89" s="4" t="e">
        <f>_xlfn.XLOOKUP(Table2[[#This Row],[Ativo]],Joao!B:B,Joao!Z:Z)</f>
        <v>#N/A</v>
      </c>
      <c r="C89" s="5" t="str">
        <f>MID(Table2[[#This Row],[Ativo]],1,2)</f>
        <v>79</v>
      </c>
      <c r="D89" s="5" t="s">
        <v>267</v>
      </c>
      <c r="E89" s="5" t="s">
        <v>132</v>
      </c>
      <c r="F89" s="5" t="s">
        <v>51</v>
      </c>
      <c r="G89" s="4" t="str">
        <f>IFERROR(_xlfn.XLOOKUP(Table2[[#This Row],[Ativo]],Pendentes[COD_RELIGADOR],Pendentes[SS_ORIGINAL]),"CONCLUÍDA")</f>
        <v>ETO-COEP 00123/2026</v>
      </c>
      <c r="H89" s="4" t="s">
        <v>451</v>
      </c>
      <c r="K89" s="4" t="s">
        <v>694</v>
      </c>
      <c r="L89" s="29" t="s">
        <v>469</v>
      </c>
      <c r="M89" s="31">
        <v>1</v>
      </c>
      <c r="N89" t="str">
        <f>IFERROR(_xlfn.XLOOKUP(Table2[[#This Row],[Ativo]],Pendentes[COD_RELIGADOR],Pendentes[DESCRICAO]),"")</f>
        <v>PARECER COEP: EQUIPAMENTO SELECIONADO PARA COMPRATroca do sistema de comunicação do equipamentoDMSL 28/07/2025: Equipamento com tanque, modulo e rele com defeito, solicitar troca do equipamento ao DCMD.Fotos vão ser enviadas por e-mail</v>
      </c>
      <c r="O89" s="5">
        <v>5</v>
      </c>
      <c r="P89" s="5">
        <v>10</v>
      </c>
      <c r="Q89" s="5">
        <v>5</v>
      </c>
      <c r="R89" s="5">
        <v>0</v>
      </c>
      <c r="S89" s="5">
        <v>0</v>
      </c>
      <c r="T89" s="5">
        <v>10</v>
      </c>
      <c r="U89" s="5">
        <v>0</v>
      </c>
      <c r="V89" s="5">
        <v>0</v>
      </c>
      <c r="W89" s="5">
        <f>SUM(Table2[[#This Row],[Premissa 1]:[Premissa 8]])</f>
        <v>30</v>
      </c>
      <c r="X89" s="5" t="s">
        <v>14</v>
      </c>
      <c r="Y89" t="s">
        <v>300</v>
      </c>
    </row>
    <row r="90" spans="1:25" ht="15" customHeight="1">
      <c r="A90" s="4">
        <v>7929376022</v>
      </c>
      <c r="B90" s="4" t="str">
        <f>_xlfn.XLOOKUP(Table2[[#This Row],[Ativo]],Joao!B:B,Joao!Z:Z)</f>
        <v>PROBLEMA NO ENVIO DO CONTROLE</v>
      </c>
      <c r="C90" s="5" t="str">
        <f>MID(Table2[[#This Row],[Ativo]],1,2)</f>
        <v>79</v>
      </c>
      <c r="D90" s="5" t="s">
        <v>102</v>
      </c>
      <c r="E90" s="5" t="s">
        <v>57</v>
      </c>
      <c r="F90" s="5" t="s">
        <v>51</v>
      </c>
      <c r="G90" s="4" t="str">
        <f>IFERROR(_xlfn.XLOOKUP(Table2[[#This Row],[Ativo]],Pendentes[COD_RELIGADOR],Pendentes[SS_ORIGINAL]),"CONCLUÍDA")</f>
        <v>ETO-COEP 00120/2026</v>
      </c>
      <c r="H90" s="4" t="s">
        <v>721</v>
      </c>
      <c r="I90" s="4" t="s">
        <v>722</v>
      </c>
      <c r="K90" s="4" t="s">
        <v>443</v>
      </c>
      <c r="L90" s="29" t="s">
        <v>469</v>
      </c>
      <c r="M90" s="31">
        <v>1</v>
      </c>
      <c r="N90" t="str">
        <f>IFERROR(_xlfn.XLOOKUP(Table2[[#This Row],[Ativo]],Pendentes[COD_RELIGADOR],Pendentes[DESCRICAO]),"")</f>
        <v>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v>
      </c>
      <c r="O90" s="5">
        <v>15</v>
      </c>
      <c r="P90" s="5">
        <v>20</v>
      </c>
      <c r="Q90" s="5">
        <v>5</v>
      </c>
      <c r="R90" s="5">
        <v>15</v>
      </c>
      <c r="S90" s="5">
        <v>15</v>
      </c>
      <c r="T90" s="5">
        <v>10</v>
      </c>
      <c r="U90" s="5">
        <v>0</v>
      </c>
      <c r="V90" s="5">
        <v>15</v>
      </c>
      <c r="W90" s="5">
        <f>SUM(Table2[[#This Row],[Premissa 1]:[Premissa 8]])</f>
        <v>95</v>
      </c>
      <c r="X90" s="5" t="s">
        <v>9</v>
      </c>
      <c r="Y90" t="s">
        <v>105</v>
      </c>
    </row>
    <row r="91" spans="1:25" ht="15" hidden="1" customHeight="1">
      <c r="A91" s="4">
        <v>7929663074</v>
      </c>
      <c r="B91" s="4" t="e">
        <f>_xlfn.XLOOKUP(Table2[[#This Row],[Ativo]],Joao!B:B,Joao!Z:Z)</f>
        <v>#N/A</v>
      </c>
      <c r="C91" s="5" t="str">
        <f>MID(Table2[[#This Row],[Ativo]],1,2)</f>
        <v>79</v>
      </c>
      <c r="G91" s="4" t="str">
        <f>IFERROR(_xlfn.XLOOKUP(Table2[[#This Row],[Ativo]],Pendentes[COD_RELIGADOR],Pendentes[SS_ORIGINAL]),"CONCLUÍDA")</f>
        <v>ETO-TELE 01026/2026</v>
      </c>
      <c r="H91" s="4" t="s">
        <v>698</v>
      </c>
      <c r="L91" s="29"/>
      <c r="M91" s="31"/>
      <c r="N91" t="str">
        <f>IFERROR(_xlfn.XLOOKUP(Table2[[#This Row],[Ativo]],Pendentes[COD_RELIGADOR],Pendentes[DESCRICAO]),"")</f>
        <v>Segue nota para verificar falha de comunicação no religador 7929663074  rural - Dianópolis  .Equipamento perde a comunicação quando falta CA !</v>
      </c>
      <c r="O91" s="5"/>
      <c r="P91" s="5"/>
      <c r="Q91" s="5"/>
      <c r="R91" s="5"/>
      <c r="S91" s="5"/>
      <c r="T91" s="5"/>
      <c r="U91" s="5"/>
      <c r="V91" s="5"/>
      <c r="W91" s="5">
        <f>SUM(Table2[[#This Row],[Premissa 1]:[Premissa 8]])</f>
        <v>0</v>
      </c>
      <c r="X91" s="5"/>
    </row>
    <row r="92" spans="1:25" ht="15" hidden="1" customHeight="1">
      <c r="A92" s="4">
        <v>7930359149</v>
      </c>
      <c r="B92" s="4" t="e">
        <f>_xlfn.XLOOKUP(Table2[[#This Row],[Ativo]],Joao!B:B,Joao!Z:Z)</f>
        <v>#N/A</v>
      </c>
      <c r="C92" s="5" t="str">
        <f>MID(Table2[[#This Row],[Ativo]],1,2)</f>
        <v>79</v>
      </c>
      <c r="D92" s="5" t="s">
        <v>257</v>
      </c>
      <c r="E92" s="5" t="s">
        <v>210</v>
      </c>
      <c r="F92" s="5" t="s">
        <v>42</v>
      </c>
      <c r="G92" s="4" t="str">
        <f>IFERROR(_xlfn.XLOOKUP(Table2[[#This Row],[Ativo]],Pendentes[COD_RELIGADOR],Pendentes[SS_ORIGINAL]),"CONCLUÍDA")</f>
        <v>ETO-COEP 00138/2026</v>
      </c>
      <c r="L92" s="29"/>
      <c r="M92" s="31"/>
      <c r="N92" t="str">
        <f>IFERROR(_xlfn.XLOOKUP(Table2[[#This Row],[Ativo]],Pendentes[COD_RELIGADOR],Pendentes[DESCRICAO]),"")</f>
        <v>PARECER DMSL 07/07/2026: equipamento tem que ser subistuido pois não faz comando, parte ativa com defeito FEITO O PRIMEIRO ATAQUE NO RELIGADOR 7930359149 E MESMO NÃO ACEITA COMANDO NEM LOCAL E NEM REMOTO SEGUNDO EQUIPE 149OP02 E PLACA DO RL ESTA CARBONIZADA COM SINAL DE CURTO.</v>
      </c>
      <c r="O92" s="5" t="s">
        <v>696</v>
      </c>
      <c r="P92" s="5"/>
      <c r="Q92" s="5"/>
      <c r="R92" s="5"/>
      <c r="S92" s="5"/>
      <c r="T92" s="5"/>
      <c r="U92" s="5"/>
      <c r="V92" s="5"/>
      <c r="W92" s="5">
        <f>SUM(Table2[[#This Row],[Premissa 1]:[Premissa 8]])</f>
        <v>0</v>
      </c>
      <c r="X92" s="5"/>
    </row>
    <row r="93" spans="1:25" ht="15" hidden="1" customHeight="1">
      <c r="A93" s="4">
        <v>7930428001</v>
      </c>
      <c r="B93" s="4" t="e">
        <f>_xlfn.XLOOKUP(Table2[[#This Row],[Ativo]],Joao!B:B,Joao!Z:Z)</f>
        <v>#N/A</v>
      </c>
      <c r="C93" s="5" t="str">
        <f>MID(Table2[[#This Row],[Ativo]],1,2)</f>
        <v>79</v>
      </c>
      <c r="D93" s="5" t="s">
        <v>41</v>
      </c>
      <c r="E93" s="5" t="s">
        <v>41</v>
      </c>
      <c r="F93" s="5" t="s">
        <v>42</v>
      </c>
      <c r="G93" s="4" t="str">
        <f>IFERROR(_xlfn.XLOOKUP(Table2[[#This Row],[Ativo]],Pendentes[COD_RELIGADOR],Pendentes[SS_ORIGINAL]),"CONCLUÍDA")</f>
        <v>ETO-COEP 00150/2026</v>
      </c>
      <c r="H93" s="4" t="s">
        <v>451</v>
      </c>
      <c r="K93" s="4" t="s">
        <v>694</v>
      </c>
      <c r="L93" s="29" t="s">
        <v>480</v>
      </c>
      <c r="M93" s="31">
        <v>1</v>
      </c>
      <c r="N93" t="str">
        <f>IFERROR(_xlfn.XLOOKUP(Table2[[#This Row],[Ativo]],Pendentes[COD_RELIGADOR],Pendentes[DESCRICAO]),"")</f>
        <v>PARECER DMSL DATA 16/07/2026: será necessário fazer a substituição da parte ativa do equipamento.PARECER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v>
      </c>
      <c r="O93" s="5">
        <v>5</v>
      </c>
      <c r="P93" s="5">
        <v>5</v>
      </c>
      <c r="Q93" s="5">
        <v>15</v>
      </c>
      <c r="R93" s="5">
        <v>0</v>
      </c>
      <c r="S93" s="5">
        <v>15</v>
      </c>
      <c r="T93" s="5">
        <v>10</v>
      </c>
      <c r="U93" s="5">
        <v>0</v>
      </c>
      <c r="V93" s="5">
        <v>0</v>
      </c>
      <c r="W93" s="5">
        <f>SUM(Table2[[#This Row],[Premissa 1]:[Premissa 8]])</f>
        <v>50</v>
      </c>
      <c r="X93" s="5" t="s">
        <v>13</v>
      </c>
      <c r="Y93" t="s">
        <v>241</v>
      </c>
    </row>
    <row r="94" spans="1:25" ht="15" hidden="1" customHeight="1">
      <c r="A94" s="4">
        <v>7931383086</v>
      </c>
      <c r="B94" s="4" t="e">
        <f>_xlfn.XLOOKUP(Table2[[#This Row],[Ativo]],Joao!B:B,Joao!Z:Z)</f>
        <v>#N/A</v>
      </c>
      <c r="C94" s="5" t="str">
        <f>MID(Table2[[#This Row],[Ativo]],1,2)</f>
        <v>79</v>
      </c>
      <c r="D94" s="5" t="s">
        <v>209</v>
      </c>
      <c r="E94" s="5" t="s">
        <v>210</v>
      </c>
      <c r="F94" s="5" t="s">
        <v>42</v>
      </c>
      <c r="G94" s="4" t="str">
        <f>IFERROR(_xlfn.XLOOKUP(Table2[[#This Row],[Ativo]],Pendentes[COD_RELIGADOR],Pendentes[SS_ORIGINAL]),"CONCLUÍDA")</f>
        <v>CONCLUÍDA</v>
      </c>
      <c r="H94" s="4" t="s">
        <v>683</v>
      </c>
      <c r="K94" s="4" t="s">
        <v>438</v>
      </c>
      <c r="L94" s="29"/>
      <c r="M94" s="31"/>
      <c r="N94" t="str">
        <f>IFERROR(_xlfn.XLOOKUP(Table2[[#This Row],[Ativo]],Pendentes[COD_RELIGADOR],Pendentes[DESCRICAO]),"")</f>
        <v/>
      </c>
      <c r="O94" s="5">
        <v>15</v>
      </c>
      <c r="P94" s="5">
        <v>20</v>
      </c>
      <c r="Q94" s="5">
        <v>5</v>
      </c>
      <c r="R94" s="5">
        <v>15</v>
      </c>
      <c r="S94" s="5">
        <v>0</v>
      </c>
      <c r="T94" s="5">
        <v>10</v>
      </c>
      <c r="U94" s="5">
        <v>0</v>
      </c>
      <c r="V94" s="5">
        <v>15</v>
      </c>
      <c r="W94" s="5">
        <f>SUM(Table2[[#This Row],[Premissa 1]:[Premissa 8]])</f>
        <v>80</v>
      </c>
      <c r="X94" s="5" t="s">
        <v>9</v>
      </c>
      <c r="Y94" t="s">
        <v>494</v>
      </c>
    </row>
    <row r="95" spans="1:25" ht="15" hidden="1" customHeight="1">
      <c r="A95" s="4">
        <v>7931608059</v>
      </c>
      <c r="B95" s="4" t="e">
        <f>_xlfn.XLOOKUP(Table2[[#This Row],[Ativo]],Joao!B:B,Joao!Z:Z)</f>
        <v>#N/A</v>
      </c>
      <c r="C95" s="5" t="str">
        <f>MID(Table2[[#This Row],[Ativo]],1,2)</f>
        <v>79</v>
      </c>
      <c r="D95" s="5" t="s">
        <v>62</v>
      </c>
      <c r="E95" s="5" t="s">
        <v>62</v>
      </c>
      <c r="F95" s="5" t="s">
        <v>42</v>
      </c>
      <c r="G95" s="4" t="str">
        <f>IFERROR(_xlfn.XLOOKUP(Table2[[#This Row],[Ativo]],Pendentes[COD_RELIGADOR],Pendentes[SS_ORIGINAL]),"CONCLUÍDA")</f>
        <v>ETO-COEP 00040/2026</v>
      </c>
      <c r="H95" s="4" t="s">
        <v>451</v>
      </c>
      <c r="K95" s="4" t="s">
        <v>694</v>
      </c>
      <c r="L95" s="29" t="s">
        <v>454</v>
      </c>
      <c r="M95" s="31">
        <v>1</v>
      </c>
      <c r="N95" t="str">
        <f>IFERROR(_xlfn.XLOOKUP(Table2[[#This Row],[Ativo]],Pendentes[COD_RELIGADOR],Pendentes[DESCRICAO]),"")</f>
        <v>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v>
      </c>
      <c r="O95" s="5">
        <v>15</v>
      </c>
      <c r="P95" s="5">
        <v>20</v>
      </c>
      <c r="Q95" s="5">
        <v>15</v>
      </c>
      <c r="R95" s="5">
        <v>15</v>
      </c>
      <c r="S95" s="5">
        <v>15</v>
      </c>
      <c r="T95" s="5">
        <v>10</v>
      </c>
      <c r="U95" s="5">
        <v>0</v>
      </c>
      <c r="V95" s="5">
        <v>15</v>
      </c>
      <c r="W95" s="5">
        <f>SUM(Table2[[#This Row],[Premissa 1]:[Premissa 8]])</f>
        <v>105</v>
      </c>
      <c r="X95" s="5" t="s">
        <v>9</v>
      </c>
      <c r="Y95" t="s">
        <v>65</v>
      </c>
    </row>
    <row r="96" spans="1:25" ht="15" customHeight="1">
      <c r="A96" s="4">
        <v>7931610122</v>
      </c>
      <c r="B96" s="4" t="str">
        <f>_xlfn.XLOOKUP(Table2[[#This Row],[Ativo]],Joao!B:B,Joao!Z:Z)</f>
        <v>Em andamento</v>
      </c>
      <c r="C96" s="5" t="str">
        <f>MID(Table2[[#This Row],[Ativo]],1,2)</f>
        <v>79</v>
      </c>
      <c r="D96" s="5" t="s">
        <v>68</v>
      </c>
      <c r="E96" s="5" t="s">
        <v>68</v>
      </c>
      <c r="F96" s="5" t="s">
        <v>42</v>
      </c>
      <c r="G96" s="4" t="str">
        <f>IFERROR(_xlfn.XLOOKUP(Table2[[#This Row],[Ativo]],Pendentes[COD_RELIGADOR],Pendentes[SS_ORIGINAL]),"CONCLUÍDA")</f>
        <v>ETO-TELE 01025/2026</v>
      </c>
      <c r="H96" s="4" t="s">
        <v>482</v>
      </c>
      <c r="J96" s="4" t="s">
        <v>723</v>
      </c>
      <c r="K96" s="4" t="s">
        <v>443</v>
      </c>
      <c r="L96" s="29" t="s">
        <v>724</v>
      </c>
      <c r="M96" s="31">
        <v>1</v>
      </c>
      <c r="N96" t="str">
        <f>IFERROR(_xlfn.XLOOKUP(Table2[[#This Row],[Ativo]],Pendentes[COD_RELIGADOR],Pendentes[DESCRICAO]),"")</f>
        <v>PARECER DA PROTEÇÃO:FAVOR COMISSIONAR RELIGADOR. AJUSTES PERMANECEM OS MESMOS E DISPONÍVEIS NO APP DA PROTEÇÃO.Estagiário Rafael P Marques.******************30/06 PARECER COEP: EQUIPAMENTO ENTREGUE, SEGUE SS PARA O COCM´S , PARA REALIZAR O ATENDIMENTO,FAVOR ADICIONAR O PARECER PARA MANDAR PARA PROTEÇÃOBom dia,Segue SS para verificação RL sem comunicação com painel apagado equipe DEOP fez primeiro ataque sem sucesso RL 7931610122 RDU de Palmas.Feedback Equipamentos Especiais DMSL: *RLG 7931610122 RDU Palmas*Noja rc10 Data: 14/10/2025SID: 5412Dados de comunicação divergentes da programação: Não. Serviço Executado: Houve um curto no equipamento danificando a parte ativa, e antena! Será necessário fazer a substituição somente da parte ativa (tanque) e da antena.Equipamento ficou em operação?: Não Pendência: Sim, substituir a parte ativa.Bateria(s) substituída(s)?: NãoData Fabricação/Instalação da(s) bateria(s): 2024Equipe: Benvindo, Juliano e Sérgio.***** Parecer do COCM CENTRO*****Equipamento Substituido em campo pela Ordem de ServiÇO DLP-MPPA01 243/2026, ONDE OS RELATORIO ESTÃO ANEXADO.--------------------------------------------------------Parecer DMSL:Equipamento substituído porém não informado se antena também foi substituída. Levar antena para caso da mesmo não ter sido substituída.</v>
      </c>
      <c r="O96" s="5">
        <v>15</v>
      </c>
      <c r="P96" s="5">
        <v>20</v>
      </c>
      <c r="Q96" s="5">
        <v>15</v>
      </c>
      <c r="R96" s="5">
        <v>15</v>
      </c>
      <c r="S96" s="5">
        <v>15</v>
      </c>
      <c r="T96" s="5">
        <v>10</v>
      </c>
      <c r="U96" s="5">
        <v>0</v>
      </c>
      <c r="V96" s="5">
        <v>15</v>
      </c>
      <c r="W96" s="5">
        <f>SUM(Table2[[#This Row],[Premissa 1]:[Premissa 8]])</f>
        <v>105</v>
      </c>
      <c r="X96" s="5" t="s">
        <v>9</v>
      </c>
      <c r="Y96" t="s">
        <v>71</v>
      </c>
    </row>
    <row r="97" spans="1:25" ht="15" hidden="1" customHeight="1">
      <c r="A97" s="4">
        <v>7933585074</v>
      </c>
      <c r="B97" s="4" t="e">
        <f>_xlfn.XLOOKUP(Table2[[#This Row],[Ativo]],Joao!B:B,Joao!Z:Z)</f>
        <v>#N/A</v>
      </c>
      <c r="C97" s="5" t="str">
        <f>MID(Table2[[#This Row],[Ativo]],1,2)</f>
        <v>79</v>
      </c>
      <c r="D97" s="5" t="s">
        <v>75</v>
      </c>
      <c r="E97" s="5" t="s">
        <v>75</v>
      </c>
      <c r="F97" s="5" t="s">
        <v>76</v>
      </c>
      <c r="G97" s="4" t="str">
        <f>IFERROR(_xlfn.XLOOKUP(Table2[[#This Row],[Ativo]],Pendentes[COD_RELIGADOR],Pendentes[SS_ORIGINAL]),"CONCLUÍDA")</f>
        <v>ETO-COEP 00024/2026</v>
      </c>
      <c r="H97" s="5" t="s">
        <v>451</v>
      </c>
      <c r="I97" s="4" t="s">
        <v>452</v>
      </c>
      <c r="K97" s="4" t="s">
        <v>694</v>
      </c>
      <c r="L97" s="29" t="s">
        <v>480</v>
      </c>
      <c r="M97" s="31">
        <v>1</v>
      </c>
      <c r="N97" t="str">
        <f>IFERROR(_xlfn.XLOOKUP(Table2[[#This Row],[Ativo]],Pendentes[COD_RELIGADOR],Pendentes[DESCRICAO]),"")</f>
        <v>30/06 PARECER COEP: EQUIPAMENTO SELECIONADO PARA COMPRAREALIZAR SUBSTITUIÇÃO DO TANQUE, O MESMO ESTÁ COM DEFEITO.</v>
      </c>
      <c r="O97" s="5">
        <v>5</v>
      </c>
      <c r="P97" s="5">
        <v>5</v>
      </c>
      <c r="Q97" s="5">
        <v>15</v>
      </c>
      <c r="R97" s="5">
        <v>0</v>
      </c>
      <c r="S97" s="5">
        <v>0</v>
      </c>
      <c r="T97" s="5">
        <v>0</v>
      </c>
      <c r="U97" s="5">
        <v>10</v>
      </c>
      <c r="V97" s="5">
        <v>0</v>
      </c>
      <c r="W97" s="5">
        <f>SUM(Table2[[#This Row],[Premissa 1]:[Premissa 8]])</f>
        <v>35</v>
      </c>
      <c r="X97" s="5" t="s">
        <v>14</v>
      </c>
      <c r="Y97" t="s">
        <v>273</v>
      </c>
    </row>
    <row r="98" spans="1:25" ht="15" customHeight="1">
      <c r="A98" s="4">
        <v>7933726256</v>
      </c>
      <c r="B98" s="4" t="str">
        <f>_xlfn.XLOOKUP(Table2[[#This Row],[Ativo]],Joao!B:B,Joao!Z:Z)</f>
        <v>Utilizaremos o que foi direcionado para Santa Rita , Favor Cancelar a obra COCM´S</v>
      </c>
      <c r="C98" s="5" t="str">
        <f>MID(Table2[[#This Row],[Ativo]],1,2)</f>
        <v>79</v>
      </c>
      <c r="D98" s="5" t="s">
        <v>107</v>
      </c>
      <c r="E98" s="5" t="s">
        <v>108</v>
      </c>
      <c r="F98" s="5" t="s">
        <v>42</v>
      </c>
      <c r="G98" s="4" t="str">
        <f>IFERROR(_xlfn.XLOOKUP(Table2[[#This Row],[Ativo]],Pendentes[COD_RELIGADOR],Pendentes[SS_ORIGINAL]),"CONCLUÍDA")</f>
        <v>ETO-PROT 00145/2026</v>
      </c>
      <c r="H98" s="4" t="s">
        <v>471</v>
      </c>
      <c r="I98" s="4" t="s">
        <v>725</v>
      </c>
      <c r="K98" s="4" t="s">
        <v>443</v>
      </c>
      <c r="L98" s="29" t="s">
        <v>473</v>
      </c>
      <c r="M98" s="31">
        <v>1</v>
      </c>
      <c r="N98" t="str">
        <f>IFERROR(_xlfn.XLOOKUP(Table2[[#This Row],[Ativo]],Pendentes[COD_RELIGADOR],Pendentes[DESCRICAO]),"")</f>
        <v>07/07 Equipamento foi substituido na OS: ETO-RD-PO 1859/2026 OBRA 031260035101/07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v>
      </c>
      <c r="O98" s="5">
        <v>15</v>
      </c>
      <c r="P98" s="5">
        <v>10</v>
      </c>
      <c r="Q98" s="5">
        <v>15</v>
      </c>
      <c r="R98" s="5">
        <v>15</v>
      </c>
      <c r="S98" s="5">
        <v>15</v>
      </c>
      <c r="T98" s="5">
        <v>10</v>
      </c>
      <c r="U98" s="5">
        <v>0</v>
      </c>
      <c r="V98" s="5">
        <v>15</v>
      </c>
      <c r="W98" s="5">
        <f>SUM(Table2[[#This Row],[Premissa 1]:[Premissa 8]])</f>
        <v>95</v>
      </c>
      <c r="X98" s="5" t="s">
        <v>9</v>
      </c>
      <c r="Y98" t="s">
        <v>111</v>
      </c>
    </row>
    <row r="99" spans="1:25" ht="15" customHeight="1">
      <c r="A99" s="4">
        <v>7933766059</v>
      </c>
      <c r="B99" s="4" t="str">
        <f>_xlfn.XLOOKUP(Table2[[#This Row],[Ativo]],Joao!B:B,Joao!Z:Z)</f>
        <v>Em andamento</v>
      </c>
      <c r="C99" s="5" t="str">
        <f>MID(Table2[[#This Row],[Ativo]],1,2)</f>
        <v>79</v>
      </c>
      <c r="D99" s="5" t="s">
        <v>62</v>
      </c>
      <c r="E99" s="5" t="s">
        <v>62</v>
      </c>
      <c r="F99" s="5" t="s">
        <v>42</v>
      </c>
      <c r="G99" s="4" t="str">
        <f>IFERROR(_xlfn.XLOOKUP(Table2[[#This Row],[Ativo]],Pendentes[COD_RELIGADOR],Pendentes[SS_ORIGINAL]),"CONCLUÍDA")</f>
        <v>ETO-TELE 01024/2026</v>
      </c>
      <c r="H99" s="4" t="s">
        <v>482</v>
      </c>
      <c r="I99" s="9"/>
      <c r="J99" s="9"/>
      <c r="K99" s="4" t="s">
        <v>443</v>
      </c>
      <c r="L99" s="29" t="s">
        <v>473</v>
      </c>
      <c r="M99" s="31">
        <v>1</v>
      </c>
      <c r="N99" t="str">
        <f>IFERROR(_xlfn.XLOOKUP(Table2[[#This Row],[Ativo]],Pendentes[COD_RELIGADOR],Pendentes[DESCRICAO]),"")</f>
        <v>PARECER DA PROTEÇÃO:RECOMISSIONAR RELIGADOR, AJUSTES DE PROTEÇÃO PERMANECEM OS MESMOS.Estagiário Rafael P Marques****************************PARECER COEP: EQUIPAMENTO ENTREGUE, SEGUE SS PARA O COCM´S , PARA REALIZAR O ATENDIMENTO,FAVOR ADICIONAR O PARECER PARA MANDAR PARA PROTEÇÃOSegue SS para verficar religador de poste 7933766059.Religador esta com defeito na parte ativa no tanque Porte gentilezaenviar equipe verificar.Endereço: TaquariPARECER DMSL: RLG 7933766059 RELÉ NOJA RC 10Mestre 2 Rep. taquaruçu GESID: 5457/2025Data: 15/10/2025Serviço Executado: Houve um curto na parte ativa do equipamento danificando a mesma, será necessário fazer a substituição somente do tanque, parte ativa.*Equipamento ficou em operação?:*Nao Pendência: Sim, substituir parte ativa.Equipe: Benvindo, Juliano e Sérgio.****** Parecer do COCM Centro***Equipámento Substituido em Campo pela Ordem de ServIÇO DLP-MPPA01 244/2026, ONDE OS RELATORIO ESTÃO ANEXADO..</v>
      </c>
      <c r="O99" s="5">
        <v>15</v>
      </c>
      <c r="P99" s="5">
        <v>20</v>
      </c>
      <c r="Q99" s="5">
        <v>5</v>
      </c>
      <c r="R99" s="5">
        <v>15</v>
      </c>
      <c r="S99" s="5">
        <v>15</v>
      </c>
      <c r="T99" s="5">
        <v>0</v>
      </c>
      <c r="U99" s="5">
        <v>10</v>
      </c>
      <c r="V99" s="5">
        <v>15</v>
      </c>
      <c r="W99" s="5">
        <f>SUM(Table2[[#This Row],[Premissa 1]:[Premissa 8]])</f>
        <v>95</v>
      </c>
      <c r="X99" s="5" t="s">
        <v>9</v>
      </c>
      <c r="Y99" t="s">
        <v>115</v>
      </c>
    </row>
    <row r="100" spans="1:25" ht="15" hidden="1" customHeight="1">
      <c r="A100" s="4">
        <v>7934697002</v>
      </c>
      <c r="B100" s="4" t="e">
        <f>_xlfn.XLOOKUP(Table2[[#This Row],[Ativo]],Joao!B:B,Joao!Z:Z)</f>
        <v>#N/A</v>
      </c>
      <c r="C100" s="5" t="str">
        <f>MID(Table2[[#This Row],[Ativo]],1,2)</f>
        <v>79</v>
      </c>
      <c r="D100" s="5" t="s">
        <v>223</v>
      </c>
      <c r="E100" s="5" t="s">
        <v>223</v>
      </c>
      <c r="F100" s="5" t="s">
        <v>51</v>
      </c>
      <c r="G100" s="4" t="str">
        <f>IFERROR(_xlfn.XLOOKUP(Table2[[#This Row],[Ativo]],Pendentes[COD_RELIGADOR],Pendentes[SS_ORIGINAL]),"CONCLUÍDA")</f>
        <v>CONCLUÍDA</v>
      </c>
      <c r="L100" s="29"/>
      <c r="M100" s="31"/>
      <c r="N100" t="str">
        <f>IFERROR(_xlfn.XLOOKUP(Table2[[#This Row],[Ativo]],Pendentes[COD_RELIGADOR],Pendentes[DESCRICAO]),"")</f>
        <v/>
      </c>
      <c r="O100" s="5" t="s">
        <v>696</v>
      </c>
      <c r="P100" s="5"/>
      <c r="Q100" s="5"/>
      <c r="R100" s="5"/>
      <c r="S100" s="5"/>
      <c r="T100" s="5"/>
      <c r="U100" s="5"/>
      <c r="V100" s="5"/>
      <c r="W100" s="5">
        <f>SUM(Table2[[#This Row],[Premissa 1]:[Premissa 8]])</f>
        <v>0</v>
      </c>
      <c r="X100" s="5"/>
    </row>
    <row r="101" spans="1:25" ht="15" customHeight="1">
      <c r="A101" s="4">
        <v>7934698002</v>
      </c>
      <c r="B101" s="4" t="str">
        <f>_xlfn.XLOOKUP(Table2[[#This Row],[Ativo]],Joao!B:B,Joao!Z:Z)</f>
        <v>Concluido</v>
      </c>
      <c r="C101" s="5" t="str">
        <f>MID(Table2[[#This Row],[Ativo]],1,2)</f>
        <v>79</v>
      </c>
      <c r="D101" s="5" t="s">
        <v>223</v>
      </c>
      <c r="E101" s="5" t="s">
        <v>223</v>
      </c>
      <c r="F101" s="5" t="s">
        <v>51</v>
      </c>
      <c r="G101" s="4" t="str">
        <f>IFERROR(_xlfn.XLOOKUP(Table2[[#This Row],[Ativo]],Pendentes[COD_RELIGADOR],Pendentes[SS_ORIGINAL]),"CONCLUÍDA")</f>
        <v>CONCLUÍDA</v>
      </c>
      <c r="H101" s="4" t="s">
        <v>455</v>
      </c>
      <c r="I101" s="4" t="s">
        <v>726</v>
      </c>
      <c r="K101" s="4" t="s">
        <v>438</v>
      </c>
      <c r="L101" s="29"/>
      <c r="M101" s="31"/>
      <c r="N101" t="str">
        <f>IFERROR(_xlfn.XLOOKUP(Table2[[#This Row],[Ativo]],Pendentes[COD_RELIGADOR],Pendentes[DESCRICAO]),"")</f>
        <v/>
      </c>
      <c r="O101" s="5">
        <v>5</v>
      </c>
      <c r="P101" s="5">
        <v>5</v>
      </c>
      <c r="Q101" s="5">
        <v>5</v>
      </c>
      <c r="R101" s="5">
        <v>0</v>
      </c>
      <c r="S101" s="5">
        <v>15</v>
      </c>
      <c r="T101" s="5">
        <v>0</v>
      </c>
      <c r="U101" s="5">
        <v>10</v>
      </c>
      <c r="V101" s="5">
        <v>15</v>
      </c>
      <c r="W101" s="5">
        <f>SUM(Table2[[#This Row],[Premissa 1]:[Premissa 8]])</f>
        <v>55</v>
      </c>
      <c r="X101" s="5" t="s">
        <v>13</v>
      </c>
      <c r="Y101" t="s">
        <v>512</v>
      </c>
    </row>
    <row r="102" spans="1:25" ht="15" hidden="1" customHeight="1">
      <c r="A102" s="43">
        <v>7936038076</v>
      </c>
      <c r="B102" s="43" t="e">
        <f>_xlfn.XLOOKUP(Table2[[#This Row],[Ativo]],Joao!B:B,Joao!Z:Z)</f>
        <v>#N/A</v>
      </c>
      <c r="C102" s="5" t="str">
        <f>MID(Table2[[#This Row],[Ativo]],1,2)</f>
        <v>79</v>
      </c>
      <c r="D102" s="5" t="s">
        <v>335</v>
      </c>
      <c r="E102" s="5" t="s">
        <v>336</v>
      </c>
      <c r="F102" s="5" t="s">
        <v>76</v>
      </c>
      <c r="G102" s="4" t="str">
        <f>IFERROR(_xlfn.XLOOKUP(Table2[[#This Row],[Ativo]],Pendentes[COD_RELIGADOR],Pendentes[SS_ORIGINAL]),"CONCLUÍDA")</f>
        <v>CONCLUÍDA</v>
      </c>
      <c r="H102" s="11" t="s">
        <v>451</v>
      </c>
      <c r="I102" s="4" t="s">
        <v>716</v>
      </c>
      <c r="K102" s="4" t="s">
        <v>694</v>
      </c>
      <c r="L102" s="29"/>
      <c r="M102" s="31"/>
      <c r="N102" t="str">
        <f>IFERROR(_xlfn.XLOOKUP(Table2[[#This Row],[Ativo]],Pendentes[COD_RELIGADOR],Pendentes[DESCRICAO]),"")</f>
        <v/>
      </c>
      <c r="O102" s="5">
        <v>5</v>
      </c>
      <c r="P102" s="5">
        <v>5</v>
      </c>
      <c r="Q102" s="5">
        <v>15</v>
      </c>
      <c r="R102" s="5">
        <v>0</v>
      </c>
      <c r="S102" s="5">
        <v>15</v>
      </c>
      <c r="T102" s="5">
        <v>10</v>
      </c>
      <c r="U102" s="5">
        <v>0</v>
      </c>
      <c r="V102" s="5">
        <v>0</v>
      </c>
      <c r="W102" s="5">
        <f>SUM(Table2[[#This Row],[Premissa 1]:[Premissa 8]])</f>
        <v>50</v>
      </c>
      <c r="X102" s="5" t="s">
        <v>13</v>
      </c>
      <c r="Y102" t="s">
        <v>513</v>
      </c>
    </row>
    <row r="103" spans="1:25" ht="15" hidden="1" customHeight="1">
      <c r="A103" s="4">
        <v>7937102148</v>
      </c>
      <c r="B103" s="4" t="e">
        <f>_xlfn.XLOOKUP(Table2[[#This Row],[Ativo]],Joao!B:B,Joao!Z:Z)</f>
        <v>#N/A</v>
      </c>
      <c r="C103" s="5" t="str">
        <f>MID(Table2[[#This Row],[Ativo]],1,2)</f>
        <v>79</v>
      </c>
      <c r="D103" s="5" t="s">
        <v>262</v>
      </c>
      <c r="E103" s="5" t="s">
        <v>177</v>
      </c>
      <c r="F103" s="5" t="s">
        <v>76</v>
      </c>
      <c r="G103" s="4" t="str">
        <f>IFERROR(_xlfn.XLOOKUP(Table2[[#This Row],[Ativo]],Pendentes[COD_RELIGADOR],Pendentes[SS_ORIGINAL]),"CONCLUÍDA")</f>
        <v>ETO-COEP 00129/2026</v>
      </c>
      <c r="H103" s="4" t="s">
        <v>451</v>
      </c>
      <c r="K103" s="4" t="s">
        <v>694</v>
      </c>
      <c r="L103" s="29" t="s">
        <v>480</v>
      </c>
      <c r="M103" s="31">
        <v>1</v>
      </c>
      <c r="N103" t="str">
        <f>IFERROR(_xlfn.XLOOKUP(Table2[[#This Row],[Ativo]],Pendentes[COD_RELIGADOR],Pendentes[DESCRICAO]),"")</f>
        <v>PARECER COEP: REAVALIAR DISPONIBILIDADE DO EQUIPAMENTO NO SCADA ASSIM COMO , FORNECER MODELO DO EQUIPAMENTO E FAIXA DE TENSÃO PARA COMPRA / AQUISIÇÃOTanque com defeito, realizar substituição do tanque.</v>
      </c>
      <c r="O103" s="5">
        <v>5</v>
      </c>
      <c r="P103" s="5">
        <v>5</v>
      </c>
      <c r="Q103" s="5">
        <v>5</v>
      </c>
      <c r="R103" s="5">
        <v>0</v>
      </c>
      <c r="S103" s="5">
        <v>15</v>
      </c>
      <c r="T103" s="5">
        <v>10</v>
      </c>
      <c r="U103" s="5">
        <v>0</v>
      </c>
      <c r="V103" s="5">
        <v>0</v>
      </c>
      <c r="W103" s="5">
        <f>SUM(Table2[[#This Row],[Premissa 1]:[Premissa 8]])</f>
        <v>40</v>
      </c>
      <c r="X103" s="5" t="s">
        <v>14</v>
      </c>
      <c r="Y103" t="s">
        <v>265</v>
      </c>
    </row>
    <row r="104" spans="1:25" s="46" customFormat="1" ht="15" customHeight="1">
      <c r="A104" s="4">
        <v>7938137007</v>
      </c>
      <c r="B104" s="4" t="str">
        <f>_xlfn.XLOOKUP(Table2[[#This Row],[Ativo]],Joao!B:B,Joao!Z:Z)</f>
        <v>Não Houve entrega do Material</v>
      </c>
      <c r="C104" s="5" t="str">
        <f>MID(Table2[[#This Row],[Ativo]],1,2)</f>
        <v>79</v>
      </c>
      <c r="D104" s="5" t="s">
        <v>186</v>
      </c>
      <c r="E104" s="5" t="s">
        <v>186</v>
      </c>
      <c r="F104" s="5" t="s">
        <v>42</v>
      </c>
      <c r="G104" s="4" t="str">
        <f>IFERROR(_xlfn.XLOOKUP(Table2[[#This Row],[Ativo]],Pendentes[COD_RELIGADOR],Pendentes[SS_ORIGINAL]),"CONCLUÍDA")</f>
        <v>ETO-COEP 00144/2026</v>
      </c>
      <c r="H104" s="5" t="s">
        <v>451</v>
      </c>
      <c r="I104" s="4"/>
      <c r="J104" s="4"/>
      <c r="K104" s="4" t="s">
        <v>694</v>
      </c>
      <c r="L104" s="29" t="s">
        <v>727</v>
      </c>
      <c r="M104" s="31">
        <v>1</v>
      </c>
      <c r="N104" t="str">
        <f>IFERROR(_xlfn.XLOOKUP(Table2[[#This Row],[Ativo]],Pendentes[COD_RELIGADOR],Pendentes[DESCRICAO]),"")</f>
        <v>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 Material ainda não foi entregue para substituição 15/07/2026</v>
      </c>
      <c r="O104" s="5">
        <v>5</v>
      </c>
      <c r="P104" s="5">
        <v>5</v>
      </c>
      <c r="Q104" s="5">
        <v>5</v>
      </c>
      <c r="R104" s="5">
        <v>0</v>
      </c>
      <c r="S104" s="5">
        <v>0</v>
      </c>
      <c r="T104" s="5">
        <v>0</v>
      </c>
      <c r="U104" s="5">
        <v>0</v>
      </c>
      <c r="V104" s="5">
        <v>0</v>
      </c>
      <c r="W104" s="5">
        <f>SUM(Table2[[#This Row],[Premissa 1]:[Premissa 8]])</f>
        <v>15</v>
      </c>
      <c r="X104" s="5" t="s">
        <v>15</v>
      </c>
      <c r="Y104" t="s">
        <v>356</v>
      </c>
    </row>
    <row r="105" spans="1:25" ht="15" hidden="1" customHeight="1">
      <c r="A105" s="4">
        <v>7942485096</v>
      </c>
      <c r="B105" s="4" t="e">
        <f>_xlfn.XLOOKUP(Table2[[#This Row],[Ativo]],Joao!B:B,Joao!Z:Z)</f>
        <v>#N/A</v>
      </c>
      <c r="C105" s="5" t="str">
        <f>MID(Table2[[#This Row],[Ativo]],1,2)</f>
        <v>79</v>
      </c>
      <c r="D105" s="5" t="s">
        <v>316</v>
      </c>
      <c r="E105" s="5" t="s">
        <v>108</v>
      </c>
      <c r="F105" s="5" t="s">
        <v>42</v>
      </c>
      <c r="G105" s="4" t="str">
        <f>IFERROR(_xlfn.XLOOKUP(Table2[[#This Row],[Ativo]],Pendentes[COD_RELIGADOR],Pendentes[SS_ORIGINAL]),"CONCLUÍDA")</f>
        <v>ETO-COEP 00158/2025</v>
      </c>
      <c r="H105" s="5" t="s">
        <v>451</v>
      </c>
      <c r="K105" s="4" t="s">
        <v>694</v>
      </c>
      <c r="L105" s="29" t="s">
        <v>480</v>
      </c>
      <c r="M105" s="31">
        <v>1</v>
      </c>
      <c r="N105" t="str">
        <f>IFERROR(_xlfn.XLOOKUP(Table2[[#This Row],[Ativo]],Pendentes[COD_RELIGADOR],Pendentes[DESCRICAO]),"")</f>
        <v>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v>
      </c>
      <c r="O105" s="5">
        <v>5</v>
      </c>
      <c r="P105" s="5">
        <v>5</v>
      </c>
      <c r="Q105" s="5">
        <v>5</v>
      </c>
      <c r="R105" s="5">
        <v>0</v>
      </c>
      <c r="S105" s="5">
        <v>0</v>
      </c>
      <c r="T105" s="5">
        <v>10</v>
      </c>
      <c r="U105" s="5">
        <v>0</v>
      </c>
      <c r="V105" s="5">
        <v>0</v>
      </c>
      <c r="W105" s="5">
        <f>SUM(Table2[[#This Row],[Premissa 1]:[Premissa 8]])</f>
        <v>25</v>
      </c>
      <c r="X105" s="5" t="s">
        <v>15</v>
      </c>
      <c r="Y105" t="s">
        <v>318</v>
      </c>
    </row>
    <row r="106" spans="1:25" ht="15" hidden="1" customHeight="1">
      <c r="A106" s="12">
        <v>7942572059</v>
      </c>
      <c r="B106" s="12" t="e">
        <f>_xlfn.XLOOKUP(Table2[[#This Row],[Ativo]],Joao!B:B,Joao!Z:Z)</f>
        <v>#N/A</v>
      </c>
      <c r="C106" s="5" t="str">
        <f>MID(Table2[[#This Row],[Ativo]],1,2)</f>
        <v>79</v>
      </c>
      <c r="D106" s="5" t="s">
        <v>62</v>
      </c>
      <c r="E106" s="5" t="s">
        <v>62</v>
      </c>
      <c r="F106" s="5" t="s">
        <v>42</v>
      </c>
      <c r="G106" s="4" t="str">
        <f>IFERROR(_xlfn.XLOOKUP(Table2[[#This Row],[Ativo]],Pendentes[COD_RELIGADOR],Pendentes[SS_ORIGINAL]),"CONCLUÍDA")</f>
        <v>ETO-PROT 00155/2026</v>
      </c>
      <c r="H106" s="4" t="s">
        <v>482</v>
      </c>
      <c r="K106" s="4" t="s">
        <v>522</v>
      </c>
      <c r="L106" s="29"/>
      <c r="M106" s="31"/>
      <c r="N106" t="str">
        <f>IFERROR(_xlfn.XLOOKUP(Table2[[#This Row],[Ativo]],Pendentes[COD_RELIGADOR],Pendentes[DESCRICAO]),"")</f>
        <v>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 Parcecer do COCM CENTRO-****FEITO A MALHAR DE ATERRAMENTO ATENDIDA PELA ORDEM DE SERVIÇO DLP-MLPA02 91/2026 COM RELATORIO EM ANEXO A O.S</v>
      </c>
      <c r="O106" s="5">
        <v>5</v>
      </c>
      <c r="P106" s="5">
        <v>5</v>
      </c>
      <c r="Q106" s="5">
        <v>15</v>
      </c>
      <c r="R106" s="5">
        <v>0</v>
      </c>
      <c r="S106" s="5">
        <v>0</v>
      </c>
      <c r="T106" s="5">
        <v>0</v>
      </c>
      <c r="U106" s="5">
        <v>10</v>
      </c>
      <c r="V106" s="5">
        <v>0</v>
      </c>
      <c r="W106" s="5">
        <f>SUM(Table2[[#This Row],[Premissa 1]:[Premissa 8]])</f>
        <v>35</v>
      </c>
      <c r="X106" s="5" t="s">
        <v>14</v>
      </c>
      <c r="Y106" t="s">
        <v>297</v>
      </c>
    </row>
    <row r="107" spans="1:25" ht="15" customHeight="1">
      <c r="A107" s="4">
        <v>7943790134</v>
      </c>
      <c r="B107" s="4" t="str">
        <f>_xlfn.XLOOKUP(Table2[[#This Row],[Ativo]],Joao!B:B,Joao!Z:Z)</f>
        <v>Ainda no nosso posto , mas de acordo com o Luanderson vai disponibilizar a equipe na terça-feira 03/06</v>
      </c>
      <c r="C107" s="5" t="str">
        <f>MID(Table2[[#This Row],[Ativo]],1,2)</f>
        <v>79</v>
      </c>
      <c r="D107" s="5" t="s">
        <v>131</v>
      </c>
      <c r="E107" s="5" t="s">
        <v>132</v>
      </c>
      <c r="F107" s="5" t="s">
        <v>51</v>
      </c>
      <c r="G107" s="4" t="str">
        <f>IFERROR(_xlfn.XLOOKUP(Table2[[#This Row],[Ativo]],Pendentes[COD_RELIGADOR],Pendentes[SS_ORIGINAL]),"CONCLUÍDA")</f>
        <v>ETO-TELE 00896/2026</v>
      </c>
      <c r="H107" s="4" t="s">
        <v>482</v>
      </c>
      <c r="K107" s="4" t="s">
        <v>443</v>
      </c>
      <c r="L107" s="29" t="s">
        <v>480</v>
      </c>
      <c r="M107" s="31">
        <v>1</v>
      </c>
      <c r="N107" t="str">
        <f>IFERROR(_xlfn.XLOOKUP(Table2[[#This Row],[Ativo]],Pendentes[COD_RELIGADOR],Pendentes[DESCRICAO]),"")</f>
        <v>PARECER DCMD:Serviço realizado , substituição da parte ativa  do RELIGADOR 7943790134 - Favor realizar comissionamento</v>
      </c>
      <c r="O107" s="5">
        <v>15</v>
      </c>
      <c r="P107" s="5">
        <v>10</v>
      </c>
      <c r="Q107" s="5">
        <v>5</v>
      </c>
      <c r="R107" s="5">
        <v>15</v>
      </c>
      <c r="S107" s="5">
        <v>15</v>
      </c>
      <c r="T107" s="5">
        <v>10</v>
      </c>
      <c r="U107" s="5">
        <v>0</v>
      </c>
      <c r="V107" s="5">
        <v>15</v>
      </c>
      <c r="W107" s="5">
        <f>SUM(Table2[[#This Row],[Premissa 1]:[Premissa 8]])</f>
        <v>85</v>
      </c>
      <c r="X107" s="5" t="s">
        <v>9</v>
      </c>
      <c r="Y107" t="s">
        <v>135</v>
      </c>
    </row>
    <row r="108" spans="1:25" ht="15" hidden="1" customHeight="1">
      <c r="A108" s="4">
        <v>7944319149</v>
      </c>
      <c r="B108" s="4" t="e">
        <f>_xlfn.XLOOKUP(Table2[[#This Row],[Ativo]],Joao!B:B,Joao!Z:Z)</f>
        <v>#N/A</v>
      </c>
      <c r="C108" s="5" t="str">
        <f>MID(Table2[[#This Row],[Ativo]],1,2)</f>
        <v>79</v>
      </c>
      <c r="D108" s="5" t="s">
        <v>257</v>
      </c>
      <c r="E108" s="5" t="s">
        <v>210</v>
      </c>
      <c r="F108" s="5" t="s">
        <v>42</v>
      </c>
      <c r="G108" s="4" t="str">
        <f>IFERROR(_xlfn.XLOOKUP(Table2[[#This Row],[Ativo]],Pendentes[COD_RELIGADOR],Pendentes[SS_ORIGINAL]),"CONCLUÍDA")</f>
        <v>CONCLUÍDA</v>
      </c>
      <c r="K108" s="4" t="s">
        <v>438</v>
      </c>
      <c r="L108" s="29"/>
      <c r="M108" s="31"/>
      <c r="N108" t="str">
        <f>IFERROR(_xlfn.XLOOKUP(Table2[[#This Row],[Ativo]],Pendentes[COD_RELIGADOR],Pendentes[DESCRICAO]),"")</f>
        <v/>
      </c>
      <c r="O108" s="5">
        <v>5</v>
      </c>
      <c r="P108" s="5">
        <v>5</v>
      </c>
      <c r="Q108" s="5">
        <v>15</v>
      </c>
      <c r="R108" s="5">
        <v>0</v>
      </c>
      <c r="S108" s="5">
        <v>0</v>
      </c>
      <c r="T108" s="5">
        <v>0</v>
      </c>
      <c r="U108" s="5">
        <v>10</v>
      </c>
      <c r="V108" s="5">
        <v>0</v>
      </c>
      <c r="W108" s="5">
        <f>SUM(Table2[[#This Row],[Premissa 1]:[Premissa 8]])</f>
        <v>35</v>
      </c>
      <c r="X108" s="5" t="s">
        <v>14</v>
      </c>
      <c r="Y108" t="s">
        <v>524</v>
      </c>
    </row>
    <row r="109" spans="1:25" ht="15" hidden="1" customHeight="1">
      <c r="A109" s="4">
        <v>7944559149</v>
      </c>
      <c r="B109" s="4" t="e">
        <f>_xlfn.XLOOKUP(Table2[[#This Row],[Ativo]],Joao!B:B,Joao!Z:Z)</f>
        <v>#N/A</v>
      </c>
      <c r="C109" s="5" t="str">
        <f>MID(Table2[[#This Row],[Ativo]],1,2)</f>
        <v>79</v>
      </c>
      <c r="D109" s="5" t="s">
        <v>257</v>
      </c>
      <c r="E109" s="5" t="s">
        <v>210</v>
      </c>
      <c r="F109" s="5" t="s">
        <v>42</v>
      </c>
      <c r="G109" s="4" t="str">
        <f>IFERROR(_xlfn.XLOOKUP(Table2[[#This Row],[Ativo]],Pendentes[COD_RELIGADOR],Pendentes[SS_ORIGINAL]),"CONCLUÍDA")</f>
        <v>ETO-COEP 00063/2026</v>
      </c>
      <c r="H109" s="4" t="s">
        <v>451</v>
      </c>
      <c r="K109" s="4" t="s">
        <v>694</v>
      </c>
      <c r="L109" s="29" t="s">
        <v>460</v>
      </c>
      <c r="M109" s="31">
        <v>1</v>
      </c>
      <c r="N109" t="str">
        <f>IFERROR(_xlfn.XLOOKUP(Table2[[#This Row],[Ativo]],Pendentes[COD_RELIGADOR],Pendentes[DESCRICAO]),"")</f>
        <v>14/07/2026 PARECER COEP: EQUIPAMENTO SELECIONADO PARA COMPRA Equipamento ficou em operação?: NãoPendência: Sim será necessário substituir a placaServiço Executado:  curto na placa foi tentando recuperar a mesma porém não teve sucesso!Bateria(s)substituída(s)? NÃOEquipe: Kaique e benvido</v>
      </c>
      <c r="O109" s="5">
        <v>5</v>
      </c>
      <c r="P109" s="5">
        <v>10</v>
      </c>
      <c r="Q109" s="5">
        <v>0</v>
      </c>
      <c r="R109" s="5">
        <v>0</v>
      </c>
      <c r="S109" s="5">
        <v>15</v>
      </c>
      <c r="T109" s="5">
        <v>10</v>
      </c>
      <c r="U109" s="5">
        <v>0</v>
      </c>
      <c r="V109" s="5">
        <v>0</v>
      </c>
      <c r="W109" s="5">
        <f>SUM(Table2[[#This Row],[Premissa 1]:[Premissa 8]])</f>
        <v>40</v>
      </c>
      <c r="X109" s="5" t="s">
        <v>14</v>
      </c>
      <c r="Y109" t="s">
        <v>728</v>
      </c>
    </row>
    <row r="110" spans="1:25" ht="15" hidden="1" customHeight="1">
      <c r="A110" s="4">
        <v>7947203070</v>
      </c>
      <c r="B110" s="4" t="e">
        <f>_xlfn.XLOOKUP(Table2[[#This Row],[Ativo]],Joao!B:B,Joao!Z:Z)</f>
        <v>#N/A</v>
      </c>
      <c r="C110" s="5" t="str">
        <f>MID(Table2[[#This Row],[Ativo]],1,2)</f>
        <v>79</v>
      </c>
      <c r="D110" s="5" t="s">
        <v>81</v>
      </c>
      <c r="E110" s="5" t="s">
        <v>62</v>
      </c>
      <c r="F110" s="5" t="s">
        <v>42</v>
      </c>
      <c r="G110" s="4" t="str">
        <f>IFERROR(_xlfn.XLOOKUP(Table2[[#This Row],[Ativo]],Pendentes[COD_RELIGADOR],Pendentes[SS_ORIGINAL]),"CONCLUÍDA")</f>
        <v>ETO-COEP 00131/2026</v>
      </c>
      <c r="H110" s="4" t="s">
        <v>451</v>
      </c>
      <c r="K110" s="4" t="s">
        <v>694</v>
      </c>
      <c r="L110" s="29" t="s">
        <v>460</v>
      </c>
      <c r="M110" s="31">
        <v>1</v>
      </c>
      <c r="N110" t="str">
        <f>IFERROR(_xlfn.XLOOKUP(Table2[[#This Row],[Ativo]],Pendentes[COD_RELIGADOR],Pendentes[DESCRICAO]),"")</f>
        <v>13/07 PARECER COEP: SELECIONADO PARA COMPRA CONTROLE 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v>
      </c>
      <c r="O110" s="5">
        <v>10</v>
      </c>
      <c r="P110" s="5">
        <v>20</v>
      </c>
      <c r="Q110" s="5">
        <v>15</v>
      </c>
      <c r="R110" s="5">
        <v>15</v>
      </c>
      <c r="S110" s="5">
        <v>15</v>
      </c>
      <c r="T110" s="5">
        <v>10</v>
      </c>
      <c r="U110" s="5">
        <v>0</v>
      </c>
      <c r="V110" s="5">
        <v>15</v>
      </c>
      <c r="W110" s="5">
        <f>SUM(Table2[[#This Row],[Premissa 1]:[Premissa 8]])</f>
        <v>100</v>
      </c>
      <c r="X110" s="5" t="s">
        <v>9</v>
      </c>
      <c r="Y110" t="s">
        <v>84</v>
      </c>
    </row>
    <row r="111" spans="1:25" ht="15" hidden="1" customHeight="1">
      <c r="A111" s="4">
        <v>7948412064</v>
      </c>
      <c r="B111" s="4" t="e">
        <f>_xlfn.XLOOKUP(Table2[[#This Row],[Ativo]],Joao!B:B,Joao!Z:Z)</f>
        <v>#N/A</v>
      </c>
      <c r="C111" s="5" t="str">
        <f>MID(Table2[[#This Row],[Ativo]],1,2)</f>
        <v>79</v>
      </c>
      <c r="D111" s="5" t="s">
        <v>563</v>
      </c>
      <c r="E111" s="5" t="s">
        <v>50</v>
      </c>
      <c r="F111" s="5" t="s">
        <v>51</v>
      </c>
      <c r="G111" s="4" t="str">
        <f>IFERROR(_xlfn.XLOOKUP(Table2[[#This Row],[Ativo]],Pendentes[COD_RELIGADOR],Pendentes[SS_ORIGINAL]),"CONCLUÍDA")</f>
        <v>CONCLUÍDA</v>
      </c>
      <c r="L111" s="29"/>
      <c r="M111" s="31"/>
      <c r="N111" t="str">
        <f>IFERROR(_xlfn.XLOOKUP(Table2[[#This Row],[Ativo]],Pendentes[COD_RELIGADOR],Pendentes[DESCRICAO]),"")</f>
        <v/>
      </c>
      <c r="O111" s="5" t="s">
        <v>696</v>
      </c>
      <c r="P111" s="5"/>
      <c r="Q111" s="5"/>
      <c r="R111" s="5"/>
      <c r="S111" s="5"/>
      <c r="T111" s="5"/>
      <c r="U111" s="5"/>
      <c r="V111" s="5"/>
      <c r="W111" s="5">
        <f>SUM(Table2[[#This Row],[Premissa 1]:[Premissa 8]])</f>
        <v>0</v>
      </c>
      <c r="X111" s="5"/>
    </row>
    <row r="112" spans="1:25" ht="15" hidden="1" customHeight="1">
      <c r="A112" s="4">
        <v>7949648145</v>
      </c>
      <c r="B112" s="4" t="e">
        <f>_xlfn.XLOOKUP(Table2[[#This Row],[Ativo]],Joao!B:B,Joao!Z:Z)</f>
        <v>#N/A</v>
      </c>
      <c r="C112" s="5" t="str">
        <f>MID(Table2[[#This Row],[Ativo]],1,2)</f>
        <v>79</v>
      </c>
      <c r="D112" s="5" t="s">
        <v>380</v>
      </c>
      <c r="E112" s="5" t="s">
        <v>132</v>
      </c>
      <c r="F112" s="5" t="s">
        <v>51</v>
      </c>
      <c r="G112" s="4" t="str">
        <f>IFERROR(_xlfn.XLOOKUP(Table2[[#This Row],[Ativo]],Pendentes[COD_RELIGADOR],Pendentes[SS_ORIGINAL]),"CONCLUÍDA")</f>
        <v>ETO-TELE 00929/2026</v>
      </c>
      <c r="L112" s="29"/>
      <c r="M112" s="31"/>
      <c r="N112" t="str">
        <f>IFERROR(_xlfn.XLOOKUP(Table2[[#This Row],[Ativo]],Pendentes[COD_RELIGADOR],Pendentes[DESCRICAO]),"")</f>
        <v>FEITO PRIMEIRO ATAQUE COM A EQUIPE LOCAL E NÃO VOLTOU A COMUNICAR. PROVIDENCIAR MANUTENÇÃO PARA O MESMO.</v>
      </c>
      <c r="O112" s="5" t="s">
        <v>696</v>
      </c>
      <c r="P112" s="5"/>
      <c r="Q112" s="5"/>
      <c r="R112" s="5"/>
      <c r="S112" s="5"/>
      <c r="T112" s="5"/>
      <c r="U112" s="5"/>
      <c r="V112" s="5"/>
      <c r="W112" s="5">
        <f>SUM(Table2[[#This Row],[Premissa 1]:[Premissa 8]])</f>
        <v>0</v>
      </c>
      <c r="X112" s="5"/>
    </row>
    <row r="113" spans="1:25" ht="15" hidden="1" customHeight="1">
      <c r="A113" s="4">
        <v>7953211079</v>
      </c>
      <c r="B113" s="4" t="e">
        <f>_xlfn.XLOOKUP(Table2[[#This Row],[Ativo]],Joao!B:B,Joao!Z:Z)</f>
        <v>#N/A</v>
      </c>
      <c r="C113" s="5" t="str">
        <f>MID(Table2[[#This Row],[Ativo]],1,2)</f>
        <v>79</v>
      </c>
      <c r="D113" s="5" t="s">
        <v>376</v>
      </c>
      <c r="E113" s="5" t="s">
        <v>50</v>
      </c>
      <c r="F113" s="5" t="s">
        <v>51</v>
      </c>
      <c r="G113" s="4" t="str">
        <f>IFERROR(_xlfn.XLOOKUP(Table2[[#This Row],[Ativo]],Pendentes[COD_RELIGADOR],Pendentes[SS_ORIGINAL]),"CONCLUÍDA")</f>
        <v>ETO-COEP 00147/2026</v>
      </c>
      <c r="L113" s="29"/>
      <c r="M113" s="31"/>
      <c r="N113" t="str">
        <f>IFERROR(_xlfn.XLOOKUP(Table2[[#This Row],[Ativo]],Pendentes[COD_RELIGADOR],Pendentes[DESCRICAO]),"")</f>
        <v>20/07 PARECER COEP: EQUIPAMENTO SELECIONADO PARA COMPRASegue nota para substituir relé religador avariado marca noja , equipamento N: 7953211079 - Itapiratins .Obs: informação repassado pelo técnico DMSL Bruno .</v>
      </c>
      <c r="O113" s="5" t="s">
        <v>696</v>
      </c>
      <c r="P113" s="5"/>
      <c r="Q113" s="5"/>
      <c r="R113" s="5"/>
      <c r="S113" s="5"/>
      <c r="T113" s="5"/>
      <c r="U113" s="5"/>
      <c r="V113" s="5"/>
      <c r="W113" s="5">
        <f>SUM(Table2[[#This Row],[Premissa 1]:[Premissa 8]])</f>
        <v>0</v>
      </c>
      <c r="X113" s="5"/>
    </row>
    <row r="114" spans="1:25" ht="15" hidden="1" customHeight="1">
      <c r="A114" s="4">
        <v>7953570026</v>
      </c>
      <c r="B114" s="4" t="e">
        <f>_xlfn.XLOOKUP(Table2[[#This Row],[Ativo]],Joao!B:B,Joao!Z:Z)</f>
        <v>#N/A</v>
      </c>
      <c r="C114" s="5" t="str">
        <f>MID(Table2[[#This Row],[Ativo]],1,2)</f>
        <v>79</v>
      </c>
      <c r="D114" s="5" t="s">
        <v>108</v>
      </c>
      <c r="E114" s="5" t="s">
        <v>108</v>
      </c>
      <c r="F114" s="5" t="s">
        <v>42</v>
      </c>
      <c r="G114" s="4" t="str">
        <f>IFERROR(_xlfn.XLOOKUP(Table2[[#This Row],[Ativo]],Pendentes[COD_RELIGADOR],Pendentes[SS_ORIGINAL]),"CONCLUÍDA")</f>
        <v>ETO-TELE 00892/2026</v>
      </c>
      <c r="L114" s="29"/>
      <c r="M114" s="31"/>
      <c r="N114" t="str">
        <f>IFERROR(_xlfn.XLOOKUP(Table2[[#This Row],[Ativo]],Pendentes[COD_RELIGADOR],Pendentes[DESCRICAO]),"")</f>
        <v>Segue RL 7953570026 O MESMO FOI FEITO PRIMEIRO ATAQUE, painel do religador acendeu porem não voltou a comunicação junto ao SCADA, equipe fez teste em comando local, tudo normal porem sem retorno de comunicação, rl na SE DE PONTE ALTA</v>
      </c>
      <c r="O114" s="5" t="s">
        <v>696</v>
      </c>
      <c r="P114" s="5"/>
      <c r="Q114" s="5"/>
      <c r="R114" s="5"/>
      <c r="S114" s="5"/>
      <c r="T114" s="5"/>
      <c r="U114" s="5"/>
      <c r="V114" s="5"/>
      <c r="W114" s="5">
        <f>SUM(Table2[[#This Row],[Premissa 1]:[Premissa 8]])</f>
        <v>0</v>
      </c>
      <c r="X114" s="5"/>
    </row>
    <row r="115" spans="1:25" ht="15" customHeight="1">
      <c r="A115" s="4">
        <v>7953610256</v>
      </c>
      <c r="B115" s="4" t="str">
        <f>_xlfn.XLOOKUP(Table2[[#This Row],[Ativo]],Joao!B:B,Joao!Z:Z)</f>
        <v>Utilizaremos o que foi direcionado para o Polo Paraíso que já estava em operação e enviar para esse caso</v>
      </c>
      <c r="C115" s="5" t="str">
        <f>MID(Table2[[#This Row],[Ativo]],1,2)</f>
        <v>79</v>
      </c>
      <c r="D115" s="5" t="s">
        <v>107</v>
      </c>
      <c r="E115" s="5" t="s">
        <v>108</v>
      </c>
      <c r="F115" s="5" t="s">
        <v>42</v>
      </c>
      <c r="G115" s="4" t="str">
        <f>IFERROR(_xlfn.XLOOKUP(Table2[[#This Row],[Ativo]],Pendentes[COD_RELIGADOR],Pendentes[SS_ORIGINAL]),"CONCLUÍDA")</f>
        <v>ETO-RD-PO 00208/2026</v>
      </c>
      <c r="H115" s="5" t="s">
        <v>455</v>
      </c>
      <c r="I115" s="4" t="s">
        <v>729</v>
      </c>
      <c r="L115" s="29" t="s">
        <v>465</v>
      </c>
      <c r="M115" s="31">
        <v>1</v>
      </c>
      <c r="N115" t="str">
        <f>IFERROR(_xlfn.XLOOKUP(Table2[[#This Row],[Ativo]],Pendentes[COD_RELIGADOR],Pendentes[DESCRICAO]),"")</f>
        <v>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v>
      </c>
      <c r="O115" s="5">
        <v>5</v>
      </c>
      <c r="P115" s="5">
        <v>5</v>
      </c>
      <c r="Q115" s="5">
        <v>15</v>
      </c>
      <c r="R115" s="5">
        <v>15</v>
      </c>
      <c r="S115" s="5">
        <v>0</v>
      </c>
      <c r="T115" s="5">
        <v>0</v>
      </c>
      <c r="U115" s="5">
        <v>10</v>
      </c>
      <c r="V115" s="5">
        <v>15</v>
      </c>
      <c r="W115" s="5">
        <f>SUM(Table2[[#This Row],[Premissa 1]:[Premissa 8]])</f>
        <v>65</v>
      </c>
      <c r="X115" s="5" t="s">
        <v>13</v>
      </c>
      <c r="Y115" t="s">
        <v>198</v>
      </c>
    </row>
    <row r="116" spans="1:25" ht="15" hidden="1" customHeight="1">
      <c r="A116" s="4">
        <v>7954668084</v>
      </c>
      <c r="B116" s="4" t="e">
        <f>_xlfn.XLOOKUP(Table2[[#This Row],[Ativo]],Joao!B:B,Joao!Z:Z)</f>
        <v>#N/A</v>
      </c>
      <c r="C116" s="5" t="str">
        <f>MID(Table2[[#This Row],[Ativo]],1,2)</f>
        <v>79</v>
      </c>
      <c r="D116" s="5" t="s">
        <v>210</v>
      </c>
      <c r="E116" s="5" t="s">
        <v>210</v>
      </c>
      <c r="F116" s="5" t="s">
        <v>42</v>
      </c>
      <c r="G116" s="4" t="str">
        <f>IFERROR(_xlfn.XLOOKUP(Table2[[#This Row],[Ativo]],Pendentes[COD_RELIGADOR],Pendentes[SS_ORIGINAL]),"CONCLUÍDA")</f>
        <v>CONCLUÍDA</v>
      </c>
      <c r="K116" s="4" t="s">
        <v>438</v>
      </c>
      <c r="L116" s="29"/>
      <c r="M116" s="31"/>
      <c r="N116" t="str">
        <f>IFERROR(_xlfn.XLOOKUP(Table2[[#This Row],[Ativo]],Pendentes[COD_RELIGADOR],Pendentes[DESCRICAO]),"")</f>
        <v/>
      </c>
      <c r="O116" s="5">
        <v>5</v>
      </c>
      <c r="P116" s="5">
        <v>5</v>
      </c>
      <c r="Q116" s="5">
        <v>0</v>
      </c>
      <c r="R116" s="5">
        <v>0</v>
      </c>
      <c r="S116" s="5">
        <v>0</v>
      </c>
      <c r="T116" s="5">
        <v>0</v>
      </c>
      <c r="U116" s="5">
        <v>10</v>
      </c>
      <c r="V116" s="5">
        <v>0</v>
      </c>
      <c r="W116" s="5">
        <f>SUM(Table2[[#This Row],[Premissa 1]:[Premissa 8]])</f>
        <v>20</v>
      </c>
      <c r="X116" s="5" t="s">
        <v>15</v>
      </c>
      <c r="Y116" t="s">
        <v>554</v>
      </c>
    </row>
    <row r="117" spans="1:25" ht="15" hidden="1" customHeight="1">
      <c r="A117" s="4">
        <v>7955430075</v>
      </c>
      <c r="B117" s="4" t="e">
        <f>_xlfn.XLOOKUP(Table2[[#This Row],[Ativo]],Joao!B:B,Joao!Z:Z)</f>
        <v>#N/A</v>
      </c>
      <c r="C117" s="5" t="str">
        <f>MID(Table2[[#This Row],[Ativo]],1,2)</f>
        <v>79</v>
      </c>
      <c r="D117" s="5" t="s">
        <v>540</v>
      </c>
      <c r="E117" s="5" t="s">
        <v>210</v>
      </c>
      <c r="F117" s="5" t="s">
        <v>42</v>
      </c>
      <c r="G117" s="4" t="str">
        <f>IFERROR(_xlfn.XLOOKUP(Table2[[#This Row],[Ativo]],Pendentes[COD_RELIGADOR],Pendentes[SS_ORIGINAL]),"CONCLUÍDA")</f>
        <v>CONCLUÍDA</v>
      </c>
      <c r="K117" s="4" t="s">
        <v>438</v>
      </c>
      <c r="L117" s="29"/>
      <c r="M117" s="31"/>
      <c r="N117" t="str">
        <f>IFERROR(_xlfn.XLOOKUP(Table2[[#This Row],[Ativo]],Pendentes[COD_RELIGADOR],Pendentes[DESCRICAO]),"")</f>
        <v/>
      </c>
      <c r="O117" s="5">
        <v>5</v>
      </c>
      <c r="P117" s="5">
        <v>5</v>
      </c>
      <c r="Q117" s="5">
        <v>5</v>
      </c>
      <c r="R117" s="5">
        <v>0</v>
      </c>
      <c r="S117" s="5">
        <v>0</v>
      </c>
      <c r="T117" s="5">
        <v>0</v>
      </c>
      <c r="U117" s="5">
        <v>10</v>
      </c>
      <c r="V117" s="5">
        <v>0</v>
      </c>
      <c r="W117" s="5">
        <f>SUM(Table2[[#This Row],[Premissa 1]:[Premissa 8]])</f>
        <v>25</v>
      </c>
      <c r="X117" s="5" t="s">
        <v>15</v>
      </c>
      <c r="Y117" t="s">
        <v>541</v>
      </c>
    </row>
    <row r="118" spans="1:25" ht="15" customHeight="1">
      <c r="A118" s="12">
        <v>7955520116</v>
      </c>
      <c r="B118" s="12">
        <f>_xlfn.XLOOKUP(Table2[[#This Row],[Ativo]],Joao!B:B,Joao!Z:Z)</f>
        <v>0</v>
      </c>
      <c r="C118" s="5" t="str">
        <f>MID(Table2[[#This Row],[Ativo]],1,2)</f>
        <v>79</v>
      </c>
      <c r="D118" s="5" t="s">
        <v>200</v>
      </c>
      <c r="E118" s="5" t="s">
        <v>75</v>
      </c>
      <c r="F118" s="5" t="s">
        <v>76</v>
      </c>
      <c r="G118" s="4" t="str">
        <f>IFERROR(_xlfn.XLOOKUP(Table2[[#This Row],[Ativo]],Pendentes[COD_RELIGADOR],Pendentes[SS_ORIGINAL]),"CONCLUÍDA")</f>
        <v>CONCLUÍDA</v>
      </c>
      <c r="H118" s="11" t="s">
        <v>451</v>
      </c>
      <c r="I118" s="4" t="s">
        <v>716</v>
      </c>
      <c r="K118" s="4" t="s">
        <v>694</v>
      </c>
      <c r="L118" s="29" t="s">
        <v>480</v>
      </c>
      <c r="M118" s="31">
        <v>1</v>
      </c>
      <c r="N118" t="str">
        <f>IFERROR(_xlfn.XLOOKUP(Table2[[#This Row],[Ativo]],Pendentes[COD_RELIGADOR],Pendentes[DESCRICAO]),"")</f>
        <v/>
      </c>
      <c r="O118" s="5">
        <v>5</v>
      </c>
      <c r="P118" s="5">
        <v>5</v>
      </c>
      <c r="Q118" s="5">
        <v>15</v>
      </c>
      <c r="R118" s="5">
        <v>0</v>
      </c>
      <c r="S118" s="5">
        <v>0</v>
      </c>
      <c r="T118" s="5">
        <v>10</v>
      </c>
      <c r="U118" s="5">
        <v>0</v>
      </c>
      <c r="V118" s="5">
        <v>15</v>
      </c>
      <c r="W118" s="5">
        <f>SUM(Table2[[#This Row],[Premissa 1]:[Premissa 8]])</f>
        <v>50</v>
      </c>
      <c r="X118" s="5" t="s">
        <v>13</v>
      </c>
      <c r="Y118" t="s">
        <v>515</v>
      </c>
    </row>
    <row r="119" spans="1:25" ht="15" hidden="1" customHeight="1">
      <c r="A119" s="4">
        <v>7955523028</v>
      </c>
      <c r="B119" s="4" t="e">
        <f>_xlfn.XLOOKUP(Table2[[#This Row],[Ativo]],Joao!B:B,Joao!Z:Z)</f>
        <v>#N/A</v>
      </c>
      <c r="C119" s="5" t="str">
        <f>MID(Table2[[#This Row],[Ativo]],1,2)</f>
        <v>79</v>
      </c>
      <c r="D119" s="5" t="s">
        <v>502</v>
      </c>
      <c r="E119" s="5" t="s">
        <v>75</v>
      </c>
      <c r="F119" s="5" t="s">
        <v>76</v>
      </c>
      <c r="G119" s="4" t="str">
        <f>IFERROR(_xlfn.XLOOKUP(Table2[[#This Row],[Ativo]],Pendentes[COD_RELIGADOR],Pendentes[SS_ORIGINAL]),"CONCLUÍDA")</f>
        <v>CONCLUÍDA</v>
      </c>
      <c r="H119" s="4" t="s">
        <v>683</v>
      </c>
      <c r="K119" s="4" t="s">
        <v>438</v>
      </c>
      <c r="L119" s="29"/>
      <c r="M119" s="31"/>
      <c r="N119" t="str">
        <f>IFERROR(_xlfn.XLOOKUP(Table2[[#This Row],[Ativo]],Pendentes[COD_RELIGADOR],Pendentes[DESCRICAO]),"")</f>
        <v/>
      </c>
      <c r="O119" s="5">
        <v>15</v>
      </c>
      <c r="P119" s="5">
        <v>10</v>
      </c>
      <c r="Q119" s="5">
        <v>5</v>
      </c>
      <c r="R119" s="5">
        <v>15</v>
      </c>
      <c r="S119" s="5">
        <v>15</v>
      </c>
      <c r="T119" s="5">
        <v>10</v>
      </c>
      <c r="U119" s="5">
        <v>0</v>
      </c>
      <c r="V119" s="5">
        <v>0</v>
      </c>
      <c r="W119" s="5">
        <f>SUM(Table2[[#This Row],[Premissa 1]:[Premissa 8]])</f>
        <v>70</v>
      </c>
      <c r="X119" s="5" t="s">
        <v>13</v>
      </c>
      <c r="Y119" t="s">
        <v>503</v>
      </c>
    </row>
    <row r="120" spans="1:25" ht="15" hidden="1" customHeight="1">
      <c r="A120" s="4">
        <v>7955686076</v>
      </c>
      <c r="B120" s="4" t="e">
        <f>_xlfn.XLOOKUP(Table2[[#This Row],[Ativo]],Joao!B:B,Joao!Z:Z)</f>
        <v>#N/A</v>
      </c>
      <c r="C120" s="5" t="str">
        <f>MID(Table2[[#This Row],[Ativo]],1,2)</f>
        <v>79</v>
      </c>
      <c r="D120" s="5" t="s">
        <v>335</v>
      </c>
      <c r="E120" s="5" t="s">
        <v>336</v>
      </c>
      <c r="F120" s="5" t="s">
        <v>76</v>
      </c>
      <c r="G120" s="4" t="str">
        <f>IFERROR(_xlfn.XLOOKUP(Table2[[#This Row],[Ativo]],Pendentes[COD_RELIGADOR],Pendentes[SS_ORIGINAL]),"CONCLUÍDA")</f>
        <v>CONCLUÍDA</v>
      </c>
      <c r="K120" s="4" t="s">
        <v>438</v>
      </c>
      <c r="L120" s="29"/>
      <c r="M120" s="31"/>
      <c r="N120" t="str">
        <f>IFERROR(_xlfn.XLOOKUP(Table2[[#This Row],[Ativo]],Pendentes[COD_RELIGADOR],Pendentes[DESCRICAO]),"")</f>
        <v/>
      </c>
      <c r="O120" s="5">
        <v>5</v>
      </c>
      <c r="P120" s="5">
        <v>5</v>
      </c>
      <c r="Q120" s="5">
        <v>0</v>
      </c>
      <c r="R120" s="5">
        <v>0</v>
      </c>
      <c r="S120" s="5">
        <v>15</v>
      </c>
      <c r="T120" s="5">
        <v>0</v>
      </c>
      <c r="U120" s="5">
        <v>0</v>
      </c>
      <c r="V120" s="5">
        <v>0</v>
      </c>
      <c r="W120" s="5">
        <f>SUM(Table2[[#This Row],[Premissa 1]:[Premissa 8]])</f>
        <v>25</v>
      </c>
      <c r="X120" s="5" t="s">
        <v>15</v>
      </c>
      <c r="Y120" t="s">
        <v>542</v>
      </c>
    </row>
    <row r="121" spans="1:25" ht="15" hidden="1" customHeight="1">
      <c r="A121" s="4">
        <v>7955792076</v>
      </c>
      <c r="B121" s="4" t="e">
        <f>_xlfn.XLOOKUP(Table2[[#This Row],[Ativo]],Joao!B:B,Joao!Z:Z)</f>
        <v>#N/A</v>
      </c>
      <c r="C121" s="5" t="str">
        <f>MID(Table2[[#This Row],[Ativo]],1,2)</f>
        <v>79</v>
      </c>
      <c r="G121" s="4" t="str">
        <f>IFERROR(_xlfn.XLOOKUP(Table2[[#This Row],[Ativo]],Pendentes[COD_RELIGADOR],Pendentes[SS_ORIGINAL]),"CONCLUÍDA")</f>
        <v>ETO-TELE 00999/2026</v>
      </c>
      <c r="H121" s="4" t="s">
        <v>698</v>
      </c>
      <c r="L121" s="29"/>
      <c r="M121" s="31"/>
      <c r="N121" t="str">
        <f>IFERROR(_xlfn.XLOOKUP(Table2[[#This Row],[Ativo]],Pendentes[COD_RELIGADOR],Pendentes[DESCRICAO]),"")</f>
        <v>RELIGADOR DE POSTE 7955792076 SEM COMUNIÇÃO COM COI ,FEITO PRIMEIRO ATAQUE COM EQUIPE OPERACIONAL O MESMO NÃO RETORNOU A COMUNICAÇÃO ENVIAR EQUIPE ESPECIAL VERIFICAR EM CAMPO</v>
      </c>
      <c r="O121" s="5"/>
      <c r="P121" s="5"/>
      <c r="Q121" s="5"/>
      <c r="R121" s="5"/>
      <c r="S121" s="5"/>
      <c r="T121" s="5"/>
      <c r="U121" s="5"/>
      <c r="V121" s="5"/>
      <c r="W121" s="5">
        <f>SUM(Table2[[#This Row],[Premissa 1]:[Premissa 8]])</f>
        <v>0</v>
      </c>
      <c r="X121" s="5"/>
    </row>
    <row r="122" spans="1:25" ht="15" hidden="1" customHeight="1">
      <c r="A122" s="39">
        <v>7955832052</v>
      </c>
      <c r="B122" s="39" t="e">
        <f>_xlfn.XLOOKUP(Table2[[#This Row],[Ativo]],Joao!B:B,Joao!Z:Z)</f>
        <v>#N/A</v>
      </c>
      <c r="C122" s="5" t="str">
        <f>MID(Table2[[#This Row],[Ativo]],1,2)</f>
        <v>79</v>
      </c>
      <c r="D122" s="5" t="s">
        <v>192</v>
      </c>
      <c r="E122" s="5" t="s">
        <v>192</v>
      </c>
      <c r="F122" s="5" t="s">
        <v>76</v>
      </c>
      <c r="G122" s="4" t="str">
        <f>IFERROR(_xlfn.XLOOKUP(Table2[[#This Row],[Ativo]],Pendentes[COD_RELIGADOR],Pendentes[SS_ORIGINAL]),"CONCLUÍDA")</f>
        <v>ETO-TELE 00982/2026</v>
      </c>
      <c r="L122" s="29"/>
      <c r="M122" s="31"/>
      <c r="N122" t="str">
        <f>IFERROR(_xlfn.XLOOKUP(Table2[[#This Row],[Ativo]],Pendentes[COD_RELIGADOR],Pendentes[DESCRICAO]),"")</f>
        <v>SEGUE SOLICITAÇÃO DE SERVIÇO PARA REALIZAR VERIFICAÇÃO DO RL 7955832052 EQUIPAMENTO DE INTEELIGAÇÃO O MESMO ESTA SEM COMUNICAÇÃO ...FOI REALIZADO PRIMEIRO ATAQUE COM EQUIPE SINERGIA DE FORMOSO EO EQUIPAMENTO NÃO VOLTOU</v>
      </c>
      <c r="O122" s="5" t="s">
        <v>696</v>
      </c>
      <c r="P122" s="5"/>
      <c r="Q122" s="5"/>
      <c r="R122" s="5"/>
      <c r="S122" s="5"/>
      <c r="T122" s="5"/>
      <c r="U122" s="5"/>
      <c r="V122" s="5"/>
      <c r="W122" s="5">
        <f>SUM(Table2[[#This Row],[Premissa 1]:[Premissa 8]])</f>
        <v>0</v>
      </c>
      <c r="X122" s="5"/>
    </row>
    <row r="123" spans="1:25" ht="15" hidden="1" customHeight="1">
      <c r="A123" s="4">
        <v>7955946007</v>
      </c>
      <c r="B123" s="4" t="e">
        <f>_xlfn.XLOOKUP(Table2[[#This Row],[Ativo]],Joao!B:B,Joao!Z:Z)</f>
        <v>#N/A</v>
      </c>
      <c r="C123" s="5" t="str">
        <f>MID(Table2[[#This Row],[Ativo]],1,2)</f>
        <v>79</v>
      </c>
      <c r="D123" s="5" t="s">
        <v>186</v>
      </c>
      <c r="E123" s="5" t="s">
        <v>186</v>
      </c>
      <c r="F123" s="5" t="s">
        <v>42</v>
      </c>
      <c r="G123" s="4" t="str">
        <f>IFERROR(_xlfn.XLOOKUP(Table2[[#This Row],[Ativo]],Pendentes[COD_RELIGADOR],Pendentes[SS_ORIGINAL]),"CONCLUÍDA")</f>
        <v>ETO-COEP 00134/2026</v>
      </c>
      <c r="H123" s="4" t="s">
        <v>451</v>
      </c>
      <c r="K123" s="4" t="s">
        <v>694</v>
      </c>
      <c r="L123" s="29" t="s">
        <v>447</v>
      </c>
      <c r="M123" s="31">
        <v>1</v>
      </c>
      <c r="N123" t="str">
        <f>IFERROR(_xlfn.XLOOKUP(Table2[[#This Row],[Ativo]],Pendentes[COD_RELIGADOR],Pendentes[DESCRICAO]),"")</f>
        <v>13/07/2026 PARECER COEP: SUBSTITUIR CONTOLE OU MANDAR MANUTENCIONAR EM CASO DE PRIORIDADE ALTAPARECER DMSL: Necessário substituir a placa de alimentação ca, a mesma está em curto não conseguimos recuperar. (Antiga nota era pra ter sido repassada porém foi baixada indevidamente pela equipe)</v>
      </c>
      <c r="O123" s="5">
        <v>5</v>
      </c>
      <c r="P123" s="5">
        <v>5</v>
      </c>
      <c r="Q123" s="5">
        <v>5</v>
      </c>
      <c r="R123" s="5">
        <v>0</v>
      </c>
      <c r="S123" s="5">
        <v>0</v>
      </c>
      <c r="T123" s="5">
        <v>0</v>
      </c>
      <c r="U123" s="5">
        <v>10</v>
      </c>
      <c r="V123" s="5">
        <v>0</v>
      </c>
      <c r="W123" s="5">
        <f>SUM(Table2[[#This Row],[Premissa 1]:[Premissa 8]])</f>
        <v>25</v>
      </c>
      <c r="X123" s="5" t="s">
        <v>15</v>
      </c>
      <c r="Y123" t="s">
        <v>311</v>
      </c>
    </row>
    <row r="124" spans="1:25" ht="15" hidden="1" customHeight="1">
      <c r="A124" s="4">
        <v>7955986084</v>
      </c>
      <c r="B124" s="4" t="e">
        <f>_xlfn.XLOOKUP(Table2[[#This Row],[Ativo]],Joao!B:B,Joao!Z:Z)</f>
        <v>#N/A</v>
      </c>
      <c r="C124" s="5" t="str">
        <f>MID(Table2[[#This Row],[Ativo]],1,2)</f>
        <v>79</v>
      </c>
      <c r="D124" s="5" t="s">
        <v>210</v>
      </c>
      <c r="E124" s="5" t="s">
        <v>210</v>
      </c>
      <c r="F124" s="5" t="s">
        <v>42</v>
      </c>
      <c r="G124" s="4" t="str">
        <f>IFERROR(_xlfn.XLOOKUP(Table2[[#This Row],[Ativo]],Pendentes[COD_RELIGADOR],Pendentes[SS_ORIGINAL]),"CONCLUÍDA")</f>
        <v>ETO-COEP 00133/2026</v>
      </c>
      <c r="H124" s="4" t="s">
        <v>451</v>
      </c>
      <c r="K124" s="4" t="s">
        <v>694</v>
      </c>
      <c r="L124" s="29"/>
      <c r="M124" s="31"/>
      <c r="N124" t="str">
        <f>IFERROR(_xlfn.XLOOKUP(Table2[[#This Row],[Ativo]],Pendentes[COD_RELIGADOR],Pendentes[DESCRICAO]),"")</f>
        <v>14/07/2026 PARECER COEP : SUBSTIUIR CONTROLE COMPLETOPARECER DMSL: Equipamento com a placa de alimentação ca em curto, será necessário substituir a placa do equipamento. (Antiga nota era pra ter sido repassada porém foi baixada indevidamente pela equipe)</v>
      </c>
      <c r="O124" s="5">
        <v>5</v>
      </c>
      <c r="P124" s="5">
        <v>5</v>
      </c>
      <c r="Q124" s="5">
        <v>0</v>
      </c>
      <c r="R124" s="5">
        <v>0</v>
      </c>
      <c r="S124" s="5">
        <v>15</v>
      </c>
      <c r="T124" s="5">
        <v>10</v>
      </c>
      <c r="U124" s="5">
        <v>0</v>
      </c>
      <c r="V124" s="5">
        <v>0</v>
      </c>
      <c r="W124" s="5">
        <f>SUM(Table2[[#This Row],[Premissa 1]:[Premissa 8]])</f>
        <v>35</v>
      </c>
      <c r="X124" s="5" t="s">
        <v>14</v>
      </c>
      <c r="Y124" t="s">
        <v>277</v>
      </c>
    </row>
    <row r="125" spans="1:25" ht="15" hidden="1" customHeight="1">
      <c r="A125" s="39">
        <v>7957021094</v>
      </c>
      <c r="B125" s="39" t="e">
        <f>_xlfn.XLOOKUP(Table2[[#This Row],[Ativo]],Joao!B:B,Joao!Z:Z)</f>
        <v>#N/A</v>
      </c>
      <c r="C125" s="5" t="str">
        <f>MID(Table2[[#This Row],[Ativo]],1,2)</f>
        <v>79</v>
      </c>
      <c r="D125" s="5" t="s">
        <v>177</v>
      </c>
      <c r="E125" s="5" t="s">
        <v>177</v>
      </c>
      <c r="F125" s="5" t="s">
        <v>76</v>
      </c>
      <c r="G125" s="4" t="str">
        <f>IFERROR(_xlfn.XLOOKUP(Table2[[#This Row],[Ativo]],Pendentes[COD_RELIGADOR],Pendentes[SS_ORIGINAL]),"CONCLUÍDA")</f>
        <v>CONCLUÍDA</v>
      </c>
      <c r="L125" s="29"/>
      <c r="M125" s="31"/>
      <c r="N125" t="str">
        <f>IFERROR(_xlfn.XLOOKUP(Table2[[#This Row],[Ativo]],Pendentes[COD_RELIGADOR],Pendentes[DESCRICAO]),"")</f>
        <v/>
      </c>
      <c r="O125" s="5" t="s">
        <v>696</v>
      </c>
      <c r="P125" s="5"/>
      <c r="Q125" s="5"/>
      <c r="R125" s="5"/>
      <c r="S125" s="5"/>
      <c r="T125" s="5"/>
      <c r="U125" s="5"/>
      <c r="V125" s="5"/>
      <c r="W125" s="5">
        <f>SUM(Table2[[#This Row],[Premissa 1]:[Premissa 8]])</f>
        <v>0</v>
      </c>
      <c r="X125" s="5"/>
    </row>
    <row r="126" spans="1:25" ht="15" customHeight="1">
      <c r="A126" s="4">
        <v>7957126085</v>
      </c>
      <c r="B126" s="4" t="s">
        <v>730</v>
      </c>
      <c r="C126" s="5" t="str">
        <f>MID(Table2[[#This Row],[Ativo]],1,2)</f>
        <v>79</v>
      </c>
      <c r="D126" s="5" t="s">
        <v>528</v>
      </c>
      <c r="E126" s="5" t="s">
        <v>97</v>
      </c>
      <c r="F126" s="5" t="s">
        <v>42</v>
      </c>
      <c r="G126" s="4" t="str">
        <f>IFERROR(_xlfn.XLOOKUP(Table2[[#This Row],[Ativo]],Pendentes[COD_RELIGADOR],Pendentes[SS_ORIGINAL]),"CONCLUÍDA")</f>
        <v>CONCLUÍDA</v>
      </c>
      <c r="H126" s="4" t="s">
        <v>683</v>
      </c>
      <c r="K126" s="4" t="s">
        <v>438</v>
      </c>
      <c r="L126" s="29"/>
      <c r="M126" s="31"/>
      <c r="N126" t="str">
        <f>IFERROR(_xlfn.XLOOKUP(Table2[[#This Row],[Ativo]],Pendentes[COD_RELIGADOR],Pendentes[DESCRICAO]),"")</f>
        <v/>
      </c>
      <c r="O126" s="5">
        <v>5</v>
      </c>
      <c r="P126" s="5">
        <v>10</v>
      </c>
      <c r="Q126" s="5">
        <v>5</v>
      </c>
      <c r="R126" s="5">
        <v>0</v>
      </c>
      <c r="S126" s="5">
        <v>0</v>
      </c>
      <c r="T126" s="5">
        <v>10</v>
      </c>
      <c r="U126" s="5">
        <v>0</v>
      </c>
      <c r="V126" s="5">
        <v>0</v>
      </c>
      <c r="W126" s="5">
        <f>SUM(Table2[[#This Row],[Premissa 1]:[Premissa 8]])</f>
        <v>30</v>
      </c>
      <c r="X126" s="5" t="s">
        <v>14</v>
      </c>
      <c r="Y126" t="s">
        <v>529</v>
      </c>
    </row>
    <row r="127" spans="1:25" ht="15" customHeight="1">
      <c r="A127" s="4">
        <v>7957620015</v>
      </c>
      <c r="B127" s="4" t="str">
        <f>_xlfn.XLOOKUP(Table2[[#This Row],[Ativo]],Joao!B:B,Joao!Z:Z)</f>
        <v>Concluido</v>
      </c>
      <c r="C127" s="5" t="str">
        <f>MID(Table2[[#This Row],[Ativo]],1,2)</f>
        <v>79</v>
      </c>
      <c r="D127" s="5" t="s">
        <v>283</v>
      </c>
      <c r="E127" s="5" t="s">
        <v>50</v>
      </c>
      <c r="F127" s="5" t="s">
        <v>51</v>
      </c>
      <c r="G127" s="4" t="str">
        <f>IFERROR(_xlfn.XLOOKUP(Table2[[#This Row],[Ativo]],Pendentes[COD_RELIGADOR],Pendentes[SS_ORIGINAL]),"CONCLUÍDA")</f>
        <v>CONCLUÍDA</v>
      </c>
      <c r="H127" s="4" t="s">
        <v>731</v>
      </c>
      <c r="K127" s="4" t="s">
        <v>438</v>
      </c>
      <c r="L127" s="29"/>
      <c r="M127" s="31"/>
      <c r="N127" t="str">
        <f>IFERROR(_xlfn.XLOOKUP(Table2[[#This Row],[Ativo]],Pendentes[COD_RELIGADOR],Pendentes[DESCRICAO]),"")</f>
        <v/>
      </c>
      <c r="O127" s="5">
        <v>15</v>
      </c>
      <c r="P127" s="5">
        <v>20</v>
      </c>
      <c r="Q127" s="5">
        <v>15</v>
      </c>
      <c r="R127" s="5">
        <v>15</v>
      </c>
      <c r="S127" s="5">
        <v>15</v>
      </c>
      <c r="T127" s="5">
        <v>0</v>
      </c>
      <c r="U127" s="5">
        <v>0</v>
      </c>
      <c r="V127" s="5">
        <v>15</v>
      </c>
      <c r="W127" s="5">
        <f>SUM(Table2[[#This Row],[Premissa 1]:[Premissa 8]])</f>
        <v>95</v>
      </c>
      <c r="X127" s="5" t="s">
        <v>9</v>
      </c>
      <c r="Y127" t="s">
        <v>478</v>
      </c>
    </row>
    <row r="128" spans="1:25" ht="15" hidden="1" customHeight="1">
      <c r="A128" s="4">
        <v>7961368005</v>
      </c>
      <c r="B128" s="4" t="e">
        <f>_xlfn.XLOOKUP(Table2[[#This Row],[Ativo]],Joao!B:B,Joao!Z:Z)</f>
        <v>#N/A</v>
      </c>
      <c r="C128" s="5" t="str">
        <f>MID(Table2[[#This Row],[Ativo]],1,2)</f>
        <v>79</v>
      </c>
      <c r="G128" s="4" t="str">
        <f>IFERROR(_xlfn.XLOOKUP(Table2[[#This Row],[Ativo]],Pendentes[COD_RELIGADOR],Pendentes[SS_ORIGINAL]),"CONCLUÍDA")</f>
        <v>ETO-TELE 01007/2026</v>
      </c>
      <c r="H128" s="4" t="s">
        <v>698</v>
      </c>
      <c r="L128" s="29"/>
      <c r="M128" s="31"/>
      <c r="N128" t="str">
        <f>IFERROR(_xlfn.XLOOKUP(Table2[[#This Row],[Ativo]],Pendentes[COD_RELIGADOR],Pendentes[DESCRICAO]),"")</f>
        <v>Favor verifcar Religador 7961368005 , equipamento sem comunicação , feito primeiro ataque com equipe operacional , porem não ouve retorno .</v>
      </c>
      <c r="O128" s="5"/>
      <c r="P128" s="5"/>
      <c r="Q128" s="5"/>
      <c r="R128" s="5"/>
      <c r="S128" s="5"/>
      <c r="T128" s="5"/>
      <c r="U128" s="5"/>
      <c r="V128" s="5"/>
      <c r="W128" s="5">
        <f>SUM(Table2[[#This Row],[Premissa 1]:[Premissa 8]])</f>
        <v>0</v>
      </c>
      <c r="X128" s="5"/>
    </row>
    <row r="129" spans="1:25" ht="15" hidden="1" customHeight="1">
      <c r="A129" s="4">
        <v>7962734119</v>
      </c>
      <c r="B129" s="4" t="e">
        <f>_xlfn.XLOOKUP(Table2[[#This Row],[Ativo]],Joao!B:B,Joao!Z:Z)</f>
        <v>#N/A</v>
      </c>
      <c r="C129" s="5" t="str">
        <f>MID(Table2[[#This Row],[Ativo]],1,2)</f>
        <v>79</v>
      </c>
      <c r="G129" s="4" t="str">
        <f>IFERROR(_xlfn.XLOOKUP(Table2[[#This Row],[Ativo]],Pendentes[COD_RELIGADOR],Pendentes[SS_ORIGINAL]),"CONCLUÍDA")</f>
        <v>ETO-TELE 01008/2026</v>
      </c>
      <c r="H129" s="4" t="s">
        <v>698</v>
      </c>
      <c r="L129" s="29"/>
      <c r="M129" s="31"/>
      <c r="N129" t="str">
        <f>IFERROR(_xlfn.XLOOKUP(Table2[[#This Row],[Ativo]],Pendentes[COD_RELIGADOR],Pendentes[DESCRICAO]),"")</f>
        <v>por favor deslocar equipe da manutenção no RL 7962734119 por que foi feito o primeiro ataque no mesmo mais não voltou comunção no sistema escada</v>
      </c>
      <c r="O129" s="5"/>
      <c r="P129" s="5"/>
      <c r="Q129" s="5"/>
      <c r="R129" s="5"/>
      <c r="S129" s="5"/>
      <c r="T129" s="5"/>
      <c r="U129" s="5"/>
      <c r="V129" s="5"/>
      <c r="W129" s="5">
        <f>SUM(Table2[[#This Row],[Premissa 1]:[Premissa 8]])</f>
        <v>0</v>
      </c>
      <c r="X129" s="5"/>
    </row>
    <row r="130" spans="1:25" ht="15" hidden="1" customHeight="1">
      <c r="A130" s="12">
        <v>7967181127</v>
      </c>
      <c r="B130" s="12" t="e">
        <f>_xlfn.XLOOKUP(Table2[[#This Row],[Ativo]],Joao!B:B,Joao!Z:Z)</f>
        <v>#N/A</v>
      </c>
      <c r="C130" s="5" t="str">
        <f>MID(Table2[[#This Row],[Ativo]],1,2)</f>
        <v>79</v>
      </c>
      <c r="D130" s="5" t="s">
        <v>222</v>
      </c>
      <c r="E130" s="5" t="s">
        <v>223</v>
      </c>
      <c r="F130" s="5" t="s">
        <v>51</v>
      </c>
      <c r="G130" s="4" t="str">
        <f>IFERROR(_xlfn.XLOOKUP(Table2[[#This Row],[Ativo]],Pendentes[COD_RELIGADOR],Pendentes[SS_ORIGINAL]),"CONCLUÍDA")</f>
        <v>CONCLUÍDA</v>
      </c>
      <c r="H130" s="4" t="s">
        <v>732</v>
      </c>
      <c r="L130" s="29"/>
      <c r="M130" s="31"/>
      <c r="N130" t="str">
        <f>IFERROR(_xlfn.XLOOKUP(Table2[[#This Row],[Ativo]],Pendentes[COD_RELIGADOR],Pendentes[DESCRICAO]),"")</f>
        <v/>
      </c>
      <c r="O130" s="5">
        <v>5</v>
      </c>
      <c r="P130" s="5">
        <v>5</v>
      </c>
      <c r="Q130" s="5">
        <v>0</v>
      </c>
      <c r="R130" s="5">
        <v>0</v>
      </c>
      <c r="S130" s="5">
        <v>15</v>
      </c>
      <c r="T130" s="5">
        <v>10</v>
      </c>
      <c r="U130" s="5">
        <v>0</v>
      </c>
      <c r="V130" s="5">
        <v>0</v>
      </c>
      <c r="W130" s="5">
        <f>SUM(Table2[[#This Row],[Premissa 1]:[Premissa 8]])</f>
        <v>35</v>
      </c>
      <c r="X130" s="5" t="s">
        <v>14</v>
      </c>
      <c r="Y130" t="s">
        <v>527</v>
      </c>
    </row>
    <row r="131" spans="1:25" ht="15" hidden="1" customHeight="1">
      <c r="B131" s="4" t="e">
        <f>_xlfn.XLOOKUP(Table2[[#This Row],[Ativo]],Joao!B:B,Joao!Z:Z)</f>
        <v>#N/A</v>
      </c>
      <c r="C131" s="5" t="str">
        <f>MID(Table2[[#This Row],[Ativo]],1,2)</f>
        <v/>
      </c>
      <c r="L131" s="29"/>
      <c r="M131" s="31"/>
      <c r="N131" t="str">
        <f>IFERROR(_xlfn.XLOOKUP(Table2[[#This Row],[Ativo]],Pendentes[COD_RELIGADOR],Pendentes[DESCRICAO]),"")</f>
        <v/>
      </c>
      <c r="O131" s="5"/>
      <c r="P131" s="5"/>
      <c r="Q131" s="5"/>
      <c r="R131" s="5"/>
      <c r="S131" s="5"/>
      <c r="T131" s="5"/>
      <c r="U131" s="5"/>
      <c r="V131" s="5"/>
      <c r="W131" s="5">
        <f>SUM(Table2[[#This Row],[Premissa 1]:[Premissa 8]])</f>
        <v>0</v>
      </c>
      <c r="X131" s="5"/>
    </row>
    <row r="135" spans="1:25" ht="15" customHeight="1">
      <c r="C135" s="47"/>
    </row>
  </sheetData>
  <mergeCells count="1">
    <mergeCell ref="AA1:AB1"/>
  </mergeCells>
  <conditionalFormatting sqref="A1:B61 A63:B1048576">
    <cfRule type="duplicateValues" dxfId="59" priority="2"/>
  </conditionalFormatting>
  <conditionalFormatting sqref="A62:B62">
    <cfRule type="duplicateValues" dxfId="58" priority="1"/>
  </conditionalFormatting>
  <conditionalFormatting sqref="G1:M2 G3:G117 I53:M53 G118:M118 N119:Q123 H116:M117 I115:M115 G132:M1048576 I124:M131 G119:H131 H54:M114 H8 J8:M8 H4:M7 H3 J3:M3 H9:M52">
    <cfRule type="cellIs" dxfId="57" priority="3" operator="equal">
      <formula>"CONCLUÍDA"</formula>
    </cfRule>
  </conditionalFormatting>
  <pageMargins left="0.511811024" right="0.511811024" top="0.78740157499999996" bottom="0.78740157499999996" header="0.31496062000000002" footer="0.31496062000000002"/>
  <pageSetup paperSize="9" orientation="portrait"/>
  <drawing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F16CD-9DB4-4BEB-8AC6-BD3A7067DA98}">
  <dimension ref="A1:AC38"/>
  <sheetViews>
    <sheetView topLeftCell="S1" workbookViewId="0">
      <selection activeCell="Z7" sqref="Z7"/>
    </sheetView>
  </sheetViews>
  <sheetFormatPr defaultRowHeight="15"/>
  <sheetData>
    <row r="1" spans="1:29">
      <c r="A1" s="62" t="s">
        <v>733</v>
      </c>
      <c r="B1" s="62"/>
      <c r="C1" s="62"/>
      <c r="D1" s="62"/>
      <c r="E1" s="62"/>
      <c r="F1" s="62"/>
      <c r="G1" s="62"/>
      <c r="H1" s="62"/>
      <c r="I1" s="62"/>
      <c r="J1" s="62"/>
      <c r="K1" s="62"/>
      <c r="L1" s="62"/>
      <c r="M1" s="62"/>
      <c r="N1" s="62"/>
      <c r="O1" s="63" t="s">
        <v>734</v>
      </c>
      <c r="P1" s="63"/>
      <c r="Q1" s="63"/>
      <c r="R1" s="63"/>
      <c r="S1" s="64"/>
      <c r="T1" s="64"/>
      <c r="U1" s="63"/>
      <c r="V1" s="62" t="s">
        <v>733</v>
      </c>
      <c r="W1" s="62"/>
      <c r="X1" s="62"/>
      <c r="Y1" s="62"/>
      <c r="Z1" s="62"/>
      <c r="AA1" s="62"/>
      <c r="AB1" s="62"/>
      <c r="AC1" s="62"/>
    </row>
    <row r="2" spans="1:29" ht="72.75">
      <c r="A2" s="65" t="s">
        <v>735</v>
      </c>
      <c r="B2" s="65" t="s">
        <v>426</v>
      </c>
      <c r="C2" s="65" t="s">
        <v>736</v>
      </c>
      <c r="D2" s="65" t="s">
        <v>737</v>
      </c>
      <c r="E2" s="65" t="s">
        <v>738</v>
      </c>
      <c r="F2" s="65" t="s">
        <v>428</v>
      </c>
      <c r="G2" s="65" t="s">
        <v>24</v>
      </c>
      <c r="H2" s="65" t="s">
        <v>431</v>
      </c>
      <c r="I2" s="65" t="s">
        <v>739</v>
      </c>
      <c r="J2" s="65" t="s">
        <v>426</v>
      </c>
      <c r="K2" s="65" t="s">
        <v>435</v>
      </c>
      <c r="L2" s="65" t="s">
        <v>740</v>
      </c>
      <c r="M2" s="65" t="s">
        <v>741</v>
      </c>
      <c r="N2" s="65" t="s">
        <v>742</v>
      </c>
      <c r="O2" s="66" t="s">
        <v>743</v>
      </c>
      <c r="P2" s="66" t="s">
        <v>744</v>
      </c>
      <c r="Q2" s="66" t="s">
        <v>745</v>
      </c>
      <c r="R2" s="66" t="s">
        <v>746</v>
      </c>
      <c r="S2" s="67" t="s">
        <v>747</v>
      </c>
      <c r="T2" s="67" t="s">
        <v>748</v>
      </c>
      <c r="U2" s="66" t="s">
        <v>749</v>
      </c>
      <c r="V2" s="65" t="s">
        <v>750</v>
      </c>
      <c r="W2" s="65" t="s">
        <v>751</v>
      </c>
      <c r="X2" s="65" t="s">
        <v>752</v>
      </c>
      <c r="Y2" s="65" t="s">
        <v>753</v>
      </c>
      <c r="Z2" s="68" t="s">
        <v>433</v>
      </c>
      <c r="AA2" s="68" t="s">
        <v>2</v>
      </c>
      <c r="AB2" s="68" t="s">
        <v>754</v>
      </c>
      <c r="AC2" s="68" t="s">
        <v>755</v>
      </c>
    </row>
    <row r="3" spans="1:29" ht="60.75">
      <c r="A3" s="69" t="s">
        <v>756</v>
      </c>
      <c r="B3" s="69">
        <v>7957620015</v>
      </c>
      <c r="C3" s="69" t="e">
        <f>_xlfn.XLOOKUP(B3,'[2]Ajustes RL Poste'!$A:$A,'[2]Ajustes RL Poste'!$K:$K)</f>
        <v>#N/A</v>
      </c>
      <c r="D3" s="69">
        <v>13.8</v>
      </c>
      <c r="E3" s="69"/>
      <c r="F3" s="69" t="s">
        <v>283</v>
      </c>
      <c r="G3" s="69" t="e">
        <f>_xlfn.XLOOKUP(F3,[3]Responsáveis!$B:$B,[3]Responsáveis!$F:$F)</f>
        <v>#N/A</v>
      </c>
      <c r="H3" s="69" t="s">
        <v>757</v>
      </c>
      <c r="I3" s="69" t="s">
        <v>758</v>
      </c>
      <c r="J3" s="69">
        <v>7957620015</v>
      </c>
      <c r="K3" s="69" t="s">
        <v>759</v>
      </c>
      <c r="L3" s="69" t="s">
        <v>760</v>
      </c>
      <c r="M3" s="69">
        <v>651638</v>
      </c>
      <c r="N3" s="70" t="s">
        <v>761</v>
      </c>
      <c r="O3" s="71">
        <v>46170</v>
      </c>
      <c r="P3" s="71" t="s">
        <v>762</v>
      </c>
      <c r="Q3" s="71" t="s">
        <v>760</v>
      </c>
      <c r="R3" s="71"/>
      <c r="S3" s="72" t="s">
        <v>763</v>
      </c>
      <c r="T3" s="72">
        <v>8495</v>
      </c>
      <c r="U3" s="73" t="s">
        <v>764</v>
      </c>
      <c r="V3" s="70">
        <v>508897</v>
      </c>
      <c r="W3" s="74" t="s">
        <v>762</v>
      </c>
      <c r="X3" s="71">
        <v>46164</v>
      </c>
      <c r="Y3" s="71">
        <v>46164</v>
      </c>
      <c r="Z3" s="70" t="s">
        <v>765</v>
      </c>
      <c r="AA3" s="70"/>
      <c r="AB3" s="75"/>
      <c r="AC3" s="75"/>
    </row>
    <row r="4" spans="1:29" ht="60.75">
      <c r="A4" s="69" t="s">
        <v>756</v>
      </c>
      <c r="B4" s="69">
        <v>7955520116</v>
      </c>
      <c r="C4" s="69" t="e">
        <f>_xlfn.XLOOKUP(B4,'[2]Ajustes RL Poste'!$A:$A,'[2]Ajustes RL Poste'!$K:$K)</f>
        <v>#N/A</v>
      </c>
      <c r="D4" s="69">
        <v>34.5</v>
      </c>
      <c r="E4" s="69"/>
      <c r="F4" s="69" t="s">
        <v>200</v>
      </c>
      <c r="G4" s="76" t="s">
        <v>766</v>
      </c>
      <c r="H4" s="69" t="s">
        <v>203</v>
      </c>
      <c r="I4" s="69" t="s">
        <v>767</v>
      </c>
      <c r="J4" s="69" t="s">
        <v>768</v>
      </c>
      <c r="K4" s="69" t="s">
        <v>769</v>
      </c>
      <c r="L4" s="69" t="s">
        <v>770</v>
      </c>
      <c r="M4" s="69"/>
      <c r="N4" s="70" t="s">
        <v>771</v>
      </c>
      <c r="O4" s="70"/>
      <c r="P4" s="71" t="s">
        <v>772</v>
      </c>
      <c r="Q4" s="71" t="s">
        <v>772</v>
      </c>
      <c r="R4" s="71" t="s">
        <v>772</v>
      </c>
      <c r="S4" s="37" t="s">
        <v>773</v>
      </c>
      <c r="T4" s="72" t="s">
        <v>774</v>
      </c>
      <c r="U4" s="70"/>
      <c r="V4" s="70"/>
      <c r="W4" s="77" t="s">
        <v>694</v>
      </c>
      <c r="X4" s="70"/>
      <c r="Y4" s="70"/>
      <c r="Z4" s="70"/>
      <c r="AA4" s="70"/>
      <c r="AB4" s="70" t="s">
        <v>775</v>
      </c>
      <c r="AC4" s="70"/>
    </row>
    <row r="5" spans="1:29" ht="60.75">
      <c r="A5" s="69" t="s">
        <v>756</v>
      </c>
      <c r="B5" s="69">
        <v>7900594026</v>
      </c>
      <c r="C5" s="69" t="e">
        <f>_xlfn.XLOOKUP(B5,'[2]Ajustes RL Poste'!$A:$A,'[2]Ajustes RL Poste'!$K:$K)</f>
        <v>#N/A</v>
      </c>
      <c r="D5" s="69">
        <v>34.5</v>
      </c>
      <c r="E5" s="69"/>
      <c r="F5" s="69" t="s">
        <v>776</v>
      </c>
      <c r="G5" s="69" t="s">
        <v>41</v>
      </c>
      <c r="H5" s="69" t="s">
        <v>777</v>
      </c>
      <c r="I5" s="69" t="s">
        <v>778</v>
      </c>
      <c r="J5" s="69">
        <v>7900594026</v>
      </c>
      <c r="K5" s="69" t="s">
        <v>779</v>
      </c>
      <c r="L5" s="69" t="s">
        <v>770</v>
      </c>
      <c r="M5" s="69"/>
      <c r="N5" s="70" t="s">
        <v>780</v>
      </c>
      <c r="O5" s="71">
        <v>46213</v>
      </c>
      <c r="P5" s="71">
        <v>46209</v>
      </c>
      <c r="Q5" s="71" t="s">
        <v>760</v>
      </c>
      <c r="R5" s="71">
        <v>46213</v>
      </c>
      <c r="S5" s="37" t="s">
        <v>781</v>
      </c>
      <c r="T5" s="37" t="s">
        <v>782</v>
      </c>
      <c r="U5" s="70"/>
      <c r="V5" s="70"/>
      <c r="W5" s="74" t="s">
        <v>762</v>
      </c>
      <c r="X5" s="71">
        <v>46209</v>
      </c>
      <c r="Y5" s="71">
        <v>46209</v>
      </c>
      <c r="Z5" s="70" t="s">
        <v>783</v>
      </c>
      <c r="AA5" s="70" t="s">
        <v>9</v>
      </c>
      <c r="AB5" s="70" t="s">
        <v>784</v>
      </c>
      <c r="AC5" s="70"/>
    </row>
    <row r="6" spans="1:29" ht="30.75">
      <c r="A6" s="70" t="s">
        <v>756</v>
      </c>
      <c r="B6" s="70">
        <v>7953610256</v>
      </c>
      <c r="C6" s="69" t="e">
        <f>_xlfn.XLOOKUP(B6,'[2]Ajustes RL Poste'!$A:$A,'[2]Ajustes RL Poste'!$K:$K)</f>
        <v>#N/A</v>
      </c>
      <c r="D6" s="70">
        <v>34.5</v>
      </c>
      <c r="E6" s="70"/>
      <c r="F6" s="70" t="s">
        <v>107</v>
      </c>
      <c r="G6" s="70" t="s">
        <v>108</v>
      </c>
      <c r="H6" s="70" t="s">
        <v>785</v>
      </c>
      <c r="I6" s="70" t="s">
        <v>786</v>
      </c>
      <c r="J6" s="70">
        <v>7953610256</v>
      </c>
      <c r="K6" s="70" t="s">
        <v>480</v>
      </c>
      <c r="L6" s="70" t="s">
        <v>770</v>
      </c>
      <c r="M6" s="70"/>
      <c r="N6" s="70" t="s">
        <v>780</v>
      </c>
      <c r="O6" s="70"/>
      <c r="P6" s="71"/>
      <c r="Q6" s="71" t="s">
        <v>760</v>
      </c>
      <c r="R6" s="71">
        <v>46226</v>
      </c>
      <c r="S6" s="73"/>
      <c r="T6" s="73"/>
      <c r="U6" s="70"/>
      <c r="V6" s="70"/>
      <c r="W6" s="74" t="s">
        <v>762</v>
      </c>
      <c r="X6" s="70"/>
      <c r="Y6" s="70"/>
      <c r="Z6" s="70" t="s">
        <v>787</v>
      </c>
      <c r="AA6" s="70"/>
      <c r="AB6" s="70" t="s">
        <v>788</v>
      </c>
      <c r="AC6" s="70"/>
    </row>
    <row r="7" spans="1:29" ht="60.75">
      <c r="A7" s="69" t="s">
        <v>756</v>
      </c>
      <c r="B7" s="69">
        <v>7943790134</v>
      </c>
      <c r="C7" s="69" t="e">
        <f>_xlfn.XLOOKUP(B7,'[2]Ajustes RL Poste'!$A:$A,'[2]Ajustes RL Poste'!$K:$K)</f>
        <v>#N/A</v>
      </c>
      <c r="D7" s="69">
        <v>34.5</v>
      </c>
      <c r="E7" s="69"/>
      <c r="F7" s="69" t="s">
        <v>131</v>
      </c>
      <c r="G7" s="69" t="e">
        <f>_xlfn.XLOOKUP(F7,[3]Responsáveis!$B:$B,[3]Responsáveis!$F:$F)</f>
        <v>#N/A</v>
      </c>
      <c r="H7" s="69" t="s">
        <v>592</v>
      </c>
      <c r="I7" s="69" t="s">
        <v>789</v>
      </c>
      <c r="J7" s="69">
        <v>7943790134</v>
      </c>
      <c r="K7" s="69" t="s">
        <v>480</v>
      </c>
      <c r="L7" s="69" t="s">
        <v>760</v>
      </c>
      <c r="M7" s="69"/>
      <c r="N7" s="70" t="s">
        <v>790</v>
      </c>
      <c r="O7" s="71">
        <v>46175</v>
      </c>
      <c r="P7" s="78" t="s">
        <v>762</v>
      </c>
      <c r="Q7" s="71" t="s">
        <v>760</v>
      </c>
      <c r="R7" s="71">
        <v>46179</v>
      </c>
      <c r="S7" s="72" t="s">
        <v>791</v>
      </c>
      <c r="T7" s="72" t="s">
        <v>774</v>
      </c>
      <c r="U7" s="73" t="s">
        <v>792</v>
      </c>
      <c r="V7" s="70">
        <v>508887</v>
      </c>
      <c r="W7" s="74" t="s">
        <v>762</v>
      </c>
      <c r="X7" s="71">
        <v>46164</v>
      </c>
      <c r="Y7" s="71">
        <v>46164</v>
      </c>
      <c r="Z7" s="70" t="s">
        <v>793</v>
      </c>
      <c r="AA7" s="70" t="s">
        <v>9</v>
      </c>
      <c r="AB7" s="70" t="s">
        <v>794</v>
      </c>
      <c r="AC7" s="70"/>
    </row>
    <row r="8" spans="1:29" ht="57.75">
      <c r="A8" s="79" t="s">
        <v>756</v>
      </c>
      <c r="B8" s="79">
        <v>7938137007</v>
      </c>
      <c r="C8" s="79" t="e">
        <f>_xlfn.XLOOKUP(B8,'[2]Ajustes RL Poste'!$A:$A,'[2]Ajustes RL Poste'!$K:$K)</f>
        <v>#N/A</v>
      </c>
      <c r="D8" s="79">
        <v>13.8</v>
      </c>
      <c r="E8" s="79"/>
      <c r="F8" s="79" t="s">
        <v>186</v>
      </c>
      <c r="G8" s="79" t="e">
        <f>_xlfn.XLOOKUP(F8,[3]Responsáveis!$B:$B,[3]Responsáveis!$F:$F)</f>
        <v>#N/A</v>
      </c>
      <c r="H8" s="79" t="s">
        <v>795</v>
      </c>
      <c r="I8" s="79" t="s">
        <v>796</v>
      </c>
      <c r="J8" s="79">
        <v>7938137007</v>
      </c>
      <c r="K8" s="79" t="s">
        <v>797</v>
      </c>
      <c r="L8" s="79" t="s">
        <v>760</v>
      </c>
      <c r="M8" s="79"/>
      <c r="N8" s="80" t="s">
        <v>798</v>
      </c>
      <c r="O8" s="80" t="s">
        <v>799</v>
      </c>
      <c r="P8" s="81" t="s">
        <v>772</v>
      </c>
      <c r="Q8" s="81" t="s">
        <v>770</v>
      </c>
      <c r="R8" s="81"/>
      <c r="S8" s="82" t="s">
        <v>800</v>
      </c>
      <c r="T8" s="82" t="s">
        <v>774</v>
      </c>
      <c r="U8" s="83"/>
      <c r="V8" s="84"/>
      <c r="W8" s="85" t="s">
        <v>694</v>
      </c>
      <c r="X8" s="84"/>
      <c r="Y8" s="70"/>
      <c r="Z8" s="70" t="s">
        <v>801</v>
      </c>
      <c r="AA8" s="70" t="e">
        <f>_xlfn.XLOOKUP(B8,[4]Pendentes!$D:$D,[4]Pendentes!$U:$U)</f>
        <v>#N/A</v>
      </c>
      <c r="AB8" s="70"/>
      <c r="AC8" s="70"/>
    </row>
    <row r="9" spans="1:29" ht="60.75">
      <c r="A9" s="69" t="s">
        <v>756</v>
      </c>
      <c r="B9" s="69">
        <v>7934698002</v>
      </c>
      <c r="C9" s="69" t="e">
        <f>_xlfn.XLOOKUP(B9,'[2]Ajustes RL Poste'!$A:$A,'[2]Ajustes RL Poste'!$K:$K)</f>
        <v>#N/A</v>
      </c>
      <c r="D9" s="69">
        <v>13.8</v>
      </c>
      <c r="E9" s="69"/>
      <c r="F9" s="69" t="s">
        <v>223</v>
      </c>
      <c r="G9" s="69" t="e">
        <f>_xlfn.XLOOKUP(F9,[3]Responsáveis!$B:$B,[3]Responsáveis!$F:$F)</f>
        <v>#N/A</v>
      </c>
      <c r="H9" s="69" t="s">
        <v>802</v>
      </c>
      <c r="I9" s="69" t="s">
        <v>803</v>
      </c>
      <c r="J9" s="69">
        <v>7934698002</v>
      </c>
      <c r="K9" s="69" t="s">
        <v>453</v>
      </c>
      <c r="L9" s="69" t="s">
        <v>760</v>
      </c>
      <c r="M9" s="69"/>
      <c r="N9" s="70" t="s">
        <v>790</v>
      </c>
      <c r="O9" s="71">
        <v>46176</v>
      </c>
      <c r="P9" s="86" t="s">
        <v>762</v>
      </c>
      <c r="Q9" s="71" t="s">
        <v>760</v>
      </c>
      <c r="R9" s="71">
        <v>46172</v>
      </c>
      <c r="S9" s="87" t="s">
        <v>804</v>
      </c>
      <c r="T9" s="87" t="s">
        <v>774</v>
      </c>
      <c r="U9" s="73" t="s">
        <v>792</v>
      </c>
      <c r="V9" s="70">
        <v>508891</v>
      </c>
      <c r="W9" s="74" t="s">
        <v>762</v>
      </c>
      <c r="X9" s="71">
        <v>46164</v>
      </c>
      <c r="Y9" s="71">
        <v>46164</v>
      </c>
      <c r="Z9" s="70" t="s">
        <v>765</v>
      </c>
      <c r="AA9" s="88" t="e">
        <f>_xlfn.XLOOKUP(B9,[4]Pendentes!$D:$D,[4]Pendentes!$U:$U)</f>
        <v>#N/A</v>
      </c>
      <c r="AB9" s="88" t="s">
        <v>805</v>
      </c>
      <c r="AC9" s="84"/>
    </row>
    <row r="10" spans="1:29" ht="60.75">
      <c r="A10" s="69" t="s">
        <v>756</v>
      </c>
      <c r="B10" s="69">
        <v>7933766059</v>
      </c>
      <c r="C10" s="69" t="e">
        <f>_xlfn.XLOOKUP(B10,'[2]Ajustes RL Poste'!$A:$A,'[2]Ajustes RL Poste'!$K:$K)</f>
        <v>#N/A</v>
      </c>
      <c r="D10" s="69">
        <v>13.8</v>
      </c>
      <c r="E10" s="69"/>
      <c r="F10" s="69" t="s">
        <v>62</v>
      </c>
      <c r="G10" s="69" t="e">
        <f>_xlfn.XLOOKUP(F10,[3]Responsáveis!$B:$B,[3]Responsáveis!$F:$F)</f>
        <v>#N/A</v>
      </c>
      <c r="H10" s="69" t="s">
        <v>806</v>
      </c>
      <c r="I10" s="69" t="s">
        <v>807</v>
      </c>
      <c r="J10" s="69">
        <v>7933766059</v>
      </c>
      <c r="K10" s="69" t="s">
        <v>480</v>
      </c>
      <c r="L10" s="69" t="s">
        <v>760</v>
      </c>
      <c r="M10" s="69"/>
      <c r="N10" s="70" t="s">
        <v>808</v>
      </c>
      <c r="O10" s="71">
        <v>46218</v>
      </c>
      <c r="P10" s="86" t="s">
        <v>762</v>
      </c>
      <c r="Q10" s="71" t="s">
        <v>760</v>
      </c>
      <c r="R10" s="71">
        <v>46219</v>
      </c>
      <c r="S10" s="72" t="s">
        <v>809</v>
      </c>
      <c r="T10" s="72" t="s">
        <v>774</v>
      </c>
      <c r="U10" s="73" t="s">
        <v>810</v>
      </c>
      <c r="V10" s="70">
        <v>510199</v>
      </c>
      <c r="W10" s="74" t="s">
        <v>762</v>
      </c>
      <c r="X10" s="71">
        <v>46204</v>
      </c>
      <c r="Y10" s="71">
        <v>46218</v>
      </c>
      <c r="Z10" s="70" t="s">
        <v>443</v>
      </c>
      <c r="AA10" s="70" t="e">
        <f>_xlfn.XLOOKUP(B10,[4]Pendentes!$D:$D,[4]Pendentes!$U:$U)</f>
        <v>#N/A</v>
      </c>
      <c r="AB10" s="70" t="s">
        <v>811</v>
      </c>
      <c r="AC10" s="70"/>
    </row>
    <row r="11" spans="1:29" ht="60.75">
      <c r="A11" s="70" t="s">
        <v>756</v>
      </c>
      <c r="B11" s="70">
        <v>7933726256</v>
      </c>
      <c r="C11" s="69" t="e">
        <f>_xlfn.XLOOKUP(B11,'[2]Ajustes RL Poste'!$A:$A,'[2]Ajustes RL Poste'!$K:$K)</f>
        <v>#N/A</v>
      </c>
      <c r="D11" s="70">
        <v>34.5</v>
      </c>
      <c r="E11" s="70"/>
      <c r="F11" s="70" t="s">
        <v>107</v>
      </c>
      <c r="G11" s="69" t="e">
        <f>_xlfn.XLOOKUP(F11,[3]Responsáveis!$B:$B,[3]Responsáveis!$F:$F)</f>
        <v>#N/A</v>
      </c>
      <c r="H11" s="70" t="s">
        <v>812</v>
      </c>
      <c r="I11" s="70" t="s">
        <v>813</v>
      </c>
      <c r="J11" s="70">
        <v>7933726256</v>
      </c>
      <c r="K11" s="70" t="s">
        <v>480</v>
      </c>
      <c r="L11" s="70" t="s">
        <v>760</v>
      </c>
      <c r="M11" s="70"/>
      <c r="N11" s="70" t="s">
        <v>780</v>
      </c>
      <c r="O11" s="71">
        <v>46210</v>
      </c>
      <c r="P11" s="86" t="s">
        <v>762</v>
      </c>
      <c r="Q11" s="71" t="s">
        <v>760</v>
      </c>
      <c r="R11" s="71">
        <v>46210</v>
      </c>
      <c r="S11" s="72" t="s">
        <v>814</v>
      </c>
      <c r="T11" s="72" t="s">
        <v>774</v>
      </c>
      <c r="U11" s="70"/>
      <c r="V11" s="70"/>
      <c r="W11" s="74" t="s">
        <v>762</v>
      </c>
      <c r="X11" s="71"/>
      <c r="Y11" s="70"/>
      <c r="Z11" s="70" t="s">
        <v>815</v>
      </c>
      <c r="AA11" s="70" t="s">
        <v>9</v>
      </c>
      <c r="AB11" s="70" t="s">
        <v>816</v>
      </c>
      <c r="AC11" s="70"/>
    </row>
    <row r="12" spans="1:29" ht="60.75">
      <c r="A12" s="69" t="s">
        <v>756</v>
      </c>
      <c r="B12" s="69">
        <v>7931610122</v>
      </c>
      <c r="C12" s="69" t="e">
        <f>_xlfn.XLOOKUP(B12,'[2]Ajustes RL Poste'!$A:$A,'[2]Ajustes RL Poste'!$K:$K)</f>
        <v>#N/A</v>
      </c>
      <c r="D12" s="69">
        <v>13.8</v>
      </c>
      <c r="E12" s="69"/>
      <c r="F12" s="69" t="s">
        <v>68</v>
      </c>
      <c r="G12" s="69" t="e">
        <f>_xlfn.XLOOKUP(F12,[3]Responsáveis!$B:$B,[3]Responsáveis!$F:$F)</f>
        <v>#N/A</v>
      </c>
      <c r="H12" s="69" t="s">
        <v>817</v>
      </c>
      <c r="I12" s="69" t="s">
        <v>818</v>
      </c>
      <c r="J12" s="69">
        <v>7931610122</v>
      </c>
      <c r="K12" s="69" t="s">
        <v>457</v>
      </c>
      <c r="L12" s="69" t="s">
        <v>760</v>
      </c>
      <c r="M12" s="69"/>
      <c r="N12" s="70" t="s">
        <v>808</v>
      </c>
      <c r="O12" s="71">
        <v>46218</v>
      </c>
      <c r="P12" s="86" t="s">
        <v>762</v>
      </c>
      <c r="Q12" s="71" t="s">
        <v>760</v>
      </c>
      <c r="R12" s="71">
        <v>46219</v>
      </c>
      <c r="S12" s="72" t="s">
        <v>819</v>
      </c>
      <c r="T12" s="72" t="s">
        <v>774</v>
      </c>
      <c r="U12" s="73" t="s">
        <v>810</v>
      </c>
      <c r="V12" s="70">
        <v>510192</v>
      </c>
      <c r="W12" s="74" t="s">
        <v>762</v>
      </c>
      <c r="X12" s="71">
        <v>46204</v>
      </c>
      <c r="Y12" s="71">
        <v>46202</v>
      </c>
      <c r="Z12" s="70" t="s">
        <v>443</v>
      </c>
      <c r="AA12" s="70" t="e">
        <f>_xlfn.XLOOKUP(B12,[4]Pendentes!$D:$D,[4]Pendentes!$U:$U)</f>
        <v>#N/A</v>
      </c>
      <c r="AB12" s="70" t="s">
        <v>820</v>
      </c>
      <c r="AC12" s="70"/>
    </row>
    <row r="13" spans="1:29" ht="60.75">
      <c r="A13" s="69" t="s">
        <v>756</v>
      </c>
      <c r="B13" s="69">
        <v>7929376022</v>
      </c>
      <c r="C13" s="69" t="e">
        <f>_xlfn.XLOOKUP(B13,'[2]Ajustes RL Poste'!$A:$A,'[2]Ajustes RL Poste'!$K:$K)</f>
        <v>#N/A</v>
      </c>
      <c r="D13" s="69">
        <v>34.5</v>
      </c>
      <c r="E13" s="69"/>
      <c r="F13" s="69" t="s">
        <v>102</v>
      </c>
      <c r="G13" s="69" t="e">
        <f>_xlfn.XLOOKUP(F13,[3]Responsáveis!$B:$B,[3]Responsáveis!$F:$F)</f>
        <v>#N/A</v>
      </c>
      <c r="H13" s="69" t="s">
        <v>101</v>
      </c>
      <c r="I13" s="69"/>
      <c r="J13" s="69">
        <v>7929376022</v>
      </c>
      <c r="K13" s="69" t="s">
        <v>821</v>
      </c>
      <c r="L13" s="69" t="s">
        <v>760</v>
      </c>
      <c r="M13" s="69"/>
      <c r="N13" s="70" t="s">
        <v>822</v>
      </c>
      <c r="O13" s="70" t="s">
        <v>823</v>
      </c>
      <c r="P13" s="89" t="s">
        <v>694</v>
      </c>
      <c r="Q13" s="71" t="s">
        <v>760</v>
      </c>
      <c r="R13" s="71"/>
      <c r="S13" s="90" t="s">
        <v>824</v>
      </c>
      <c r="T13" s="90" t="s">
        <v>774</v>
      </c>
      <c r="U13" s="73" t="s">
        <v>825</v>
      </c>
      <c r="V13" s="70" t="s">
        <v>826</v>
      </c>
      <c r="W13" s="91" t="s">
        <v>694</v>
      </c>
      <c r="X13" s="71">
        <v>46244</v>
      </c>
      <c r="Y13" s="71"/>
      <c r="Z13" s="70" t="s">
        <v>827</v>
      </c>
      <c r="AA13" s="70" t="s">
        <v>9</v>
      </c>
      <c r="AB13" s="70"/>
      <c r="AC13" s="70"/>
    </row>
    <row r="14" spans="1:29" ht="60.75">
      <c r="A14" s="69" t="s">
        <v>756</v>
      </c>
      <c r="B14" s="69">
        <v>7927169001</v>
      </c>
      <c r="C14" s="69" t="e">
        <f>_xlfn.XLOOKUP(B14,'[2]Ajustes RL Poste'!$A:$A,'[2]Ajustes RL Poste'!$K:$K)</f>
        <v>#N/A</v>
      </c>
      <c r="D14" s="69">
        <v>13.8</v>
      </c>
      <c r="E14" s="69"/>
      <c r="F14" s="69" t="s">
        <v>68</v>
      </c>
      <c r="G14" s="69" t="e">
        <f>_xlfn.XLOOKUP(F14,[3]Responsáveis!$B:$B,[3]Responsáveis!$F:$F)</f>
        <v>#N/A</v>
      </c>
      <c r="H14" s="69" t="s">
        <v>828</v>
      </c>
      <c r="I14" s="69" t="s">
        <v>828</v>
      </c>
      <c r="J14" s="69">
        <v>7927169001</v>
      </c>
      <c r="K14" s="69" t="s">
        <v>453</v>
      </c>
      <c r="L14" s="69" t="s">
        <v>760</v>
      </c>
      <c r="M14" s="69"/>
      <c r="N14" s="70" t="s">
        <v>808</v>
      </c>
      <c r="O14" s="71">
        <v>46219</v>
      </c>
      <c r="P14" s="86" t="s">
        <v>762</v>
      </c>
      <c r="Q14" s="71" t="s">
        <v>760</v>
      </c>
      <c r="R14" s="71">
        <v>46223</v>
      </c>
      <c r="S14" s="87" t="s">
        <v>829</v>
      </c>
      <c r="T14" s="87" t="s">
        <v>774</v>
      </c>
      <c r="U14" s="73" t="s">
        <v>810</v>
      </c>
      <c r="V14" s="70">
        <v>510209</v>
      </c>
      <c r="W14" s="74" t="s">
        <v>762</v>
      </c>
      <c r="X14" s="71">
        <v>46210</v>
      </c>
      <c r="Y14" s="71">
        <v>46202</v>
      </c>
      <c r="Z14" s="70"/>
      <c r="AA14" s="70" t="e">
        <f>_xlfn.XLOOKUP(B14,[4]Pendentes!$D:$D,[4]Pendentes!$U:$U)</f>
        <v>#N/A</v>
      </c>
      <c r="AB14" s="70" t="s">
        <v>830</v>
      </c>
      <c r="AC14" s="70"/>
    </row>
    <row r="15" spans="1:29" ht="183">
      <c r="A15" s="69" t="s">
        <v>756</v>
      </c>
      <c r="B15" s="69">
        <v>7925087021</v>
      </c>
      <c r="C15" s="69" t="e">
        <f>_xlfn.XLOOKUP(B15,'[2]Ajustes RL Poste'!$A:$A,'[2]Ajustes RL Poste'!$K:$K)</f>
        <v>#N/A</v>
      </c>
      <c r="D15" s="69">
        <v>34.5</v>
      </c>
      <c r="E15" s="69"/>
      <c r="F15" s="69" t="s">
        <v>176</v>
      </c>
      <c r="G15" s="69" t="e">
        <f>_xlfn.XLOOKUP(F15,[3]Responsáveis!$B:$B,[3]Responsáveis!$F:$F)</f>
        <v>#N/A</v>
      </c>
      <c r="H15" s="69" t="s">
        <v>831</v>
      </c>
      <c r="I15" s="69"/>
      <c r="J15" s="69">
        <v>7925087021</v>
      </c>
      <c r="K15" s="69" t="s">
        <v>480</v>
      </c>
      <c r="L15" s="69" t="s">
        <v>760</v>
      </c>
      <c r="M15" s="69"/>
      <c r="N15" s="70" t="s">
        <v>832</v>
      </c>
      <c r="O15" s="70" t="s">
        <v>823</v>
      </c>
      <c r="P15" s="89" t="s">
        <v>694</v>
      </c>
      <c r="Q15" s="71" t="s">
        <v>770</v>
      </c>
      <c r="R15" s="71" t="s">
        <v>694</v>
      </c>
      <c r="S15" s="92" t="s">
        <v>833</v>
      </c>
      <c r="T15" s="92" t="s">
        <v>774</v>
      </c>
      <c r="U15" s="93" t="s">
        <v>834</v>
      </c>
      <c r="V15" s="94">
        <v>511540</v>
      </c>
      <c r="W15" s="74" t="s">
        <v>762</v>
      </c>
      <c r="X15" s="71">
        <v>46213</v>
      </c>
      <c r="Y15" s="71">
        <v>46213</v>
      </c>
      <c r="Z15" s="69" t="s">
        <v>835</v>
      </c>
      <c r="AA15" s="70" t="e">
        <f>_xlfn.XLOOKUP(B15,[4]Pendentes!$D:$D,[4]Pendentes!$U:$U)</f>
        <v>#N/A</v>
      </c>
      <c r="AB15" s="70" t="s">
        <v>836</v>
      </c>
      <c r="AC15" s="70"/>
    </row>
    <row r="16" spans="1:29" ht="60.75">
      <c r="A16" s="69" t="s">
        <v>756</v>
      </c>
      <c r="B16" s="69">
        <v>7908705049</v>
      </c>
      <c r="C16" s="69" t="e">
        <f>_xlfn.XLOOKUP(B16,'[2]Ajustes RL Poste'!$A:$A,'[2]Ajustes RL Poste'!$K:$K)</f>
        <v>#N/A</v>
      </c>
      <c r="D16" s="69">
        <v>13.8</v>
      </c>
      <c r="E16" s="69"/>
      <c r="F16" s="69" t="s">
        <v>86</v>
      </c>
      <c r="G16" s="76" t="s">
        <v>766</v>
      </c>
      <c r="H16" s="69" t="s">
        <v>837</v>
      </c>
      <c r="I16" s="69" t="s">
        <v>838</v>
      </c>
      <c r="J16" s="69">
        <v>7908705049</v>
      </c>
      <c r="K16" s="69" t="s">
        <v>453</v>
      </c>
      <c r="L16" s="69" t="s">
        <v>760</v>
      </c>
      <c r="M16" s="69"/>
      <c r="N16" s="70" t="s">
        <v>771</v>
      </c>
      <c r="O16" s="70" t="s">
        <v>823</v>
      </c>
      <c r="P16" s="89" t="s">
        <v>694</v>
      </c>
      <c r="Q16" s="71" t="s">
        <v>770</v>
      </c>
      <c r="R16" s="71" t="s">
        <v>694</v>
      </c>
      <c r="S16" s="90" t="s">
        <v>839</v>
      </c>
      <c r="T16" s="90" t="s">
        <v>774</v>
      </c>
      <c r="U16" s="73" t="s">
        <v>840</v>
      </c>
      <c r="V16" s="70">
        <v>511536</v>
      </c>
      <c r="W16" s="74" t="s">
        <v>762</v>
      </c>
      <c r="X16" s="71">
        <v>46223</v>
      </c>
      <c r="Y16" s="71"/>
      <c r="Z16" s="70"/>
      <c r="AA16" s="70" t="e">
        <f>_xlfn.XLOOKUP(B16,[4]Pendentes!$D:$D,[4]Pendentes!$U:$U)</f>
        <v>#N/A</v>
      </c>
      <c r="AB16" s="70" t="s">
        <v>841</v>
      </c>
      <c r="AC16" s="70"/>
    </row>
    <row r="17" spans="1:29" ht="60.75">
      <c r="A17" s="69" t="s">
        <v>756</v>
      </c>
      <c r="B17" s="95">
        <v>7908686014</v>
      </c>
      <c r="C17" s="69" t="e">
        <f>_xlfn.XLOOKUP(B17,'[2]Ajustes RL Poste'!$A:$A,'[2]Ajustes RL Poste'!$K:$K)</f>
        <v>#N/A</v>
      </c>
      <c r="D17" s="69">
        <v>34.5</v>
      </c>
      <c r="E17" s="69"/>
      <c r="F17" s="69" t="s">
        <v>126</v>
      </c>
      <c r="G17" s="69" t="e">
        <f>_xlfn.XLOOKUP(F17,[3]Responsáveis!$B:$B,[3]Responsáveis!$F:$F)</f>
        <v>#N/A</v>
      </c>
      <c r="H17" s="69" t="s">
        <v>842</v>
      </c>
      <c r="I17" s="69" t="s">
        <v>843</v>
      </c>
      <c r="J17" s="69">
        <v>7908686014</v>
      </c>
      <c r="K17" s="69" t="s">
        <v>480</v>
      </c>
      <c r="L17" s="69" t="s">
        <v>760</v>
      </c>
      <c r="M17" s="69"/>
      <c r="N17" s="70" t="s">
        <v>844</v>
      </c>
      <c r="O17" s="70"/>
      <c r="P17" s="89" t="s">
        <v>694</v>
      </c>
      <c r="Q17" s="71" t="s">
        <v>770</v>
      </c>
      <c r="R17" s="71"/>
      <c r="S17" s="90" t="s">
        <v>845</v>
      </c>
      <c r="T17" s="90" t="s">
        <v>774</v>
      </c>
      <c r="U17" s="73" t="s">
        <v>846</v>
      </c>
      <c r="V17" s="70">
        <v>510214</v>
      </c>
      <c r="W17" s="74" t="s">
        <v>762</v>
      </c>
      <c r="X17" s="71">
        <v>46213</v>
      </c>
      <c r="Y17" s="71">
        <v>46218</v>
      </c>
      <c r="Z17" s="70" t="s">
        <v>847</v>
      </c>
      <c r="AA17" s="70" t="e">
        <f>_xlfn.XLOOKUP(B17,[4]Pendentes!$D:$D,[4]Pendentes!$U:$U)</f>
        <v>#N/A</v>
      </c>
      <c r="AB17" s="70" t="s">
        <v>848</v>
      </c>
      <c r="AC17" s="70"/>
    </row>
    <row r="18" spans="1:29" ht="87">
      <c r="A18" s="69" t="s">
        <v>756</v>
      </c>
      <c r="B18" s="69">
        <v>7903112004</v>
      </c>
      <c r="C18" s="69" t="e">
        <f>_xlfn.XLOOKUP(B18,'[2]Ajustes RL Poste'!$A:$A,'[2]Ajustes RL Poste'!$K:$K)</f>
        <v>#N/A</v>
      </c>
      <c r="D18" s="69">
        <v>34.5</v>
      </c>
      <c r="E18" s="69"/>
      <c r="F18" s="69" t="s">
        <v>57</v>
      </c>
      <c r="G18" s="69"/>
      <c r="H18" s="69" t="s">
        <v>218</v>
      </c>
      <c r="I18" s="69"/>
      <c r="J18" s="96">
        <v>7903112004</v>
      </c>
      <c r="K18" s="96" t="s">
        <v>849</v>
      </c>
      <c r="L18" s="96" t="s">
        <v>770</v>
      </c>
      <c r="M18" s="96"/>
      <c r="N18" s="70" t="s">
        <v>822</v>
      </c>
      <c r="O18" s="70" t="s">
        <v>823</v>
      </c>
      <c r="P18" s="71" t="s">
        <v>694</v>
      </c>
      <c r="Q18" s="71" t="s">
        <v>770</v>
      </c>
      <c r="R18" s="71" t="s">
        <v>694</v>
      </c>
      <c r="S18" s="73"/>
      <c r="T18" s="73"/>
      <c r="U18" s="73"/>
      <c r="V18" s="70"/>
      <c r="W18" s="91" t="s">
        <v>694</v>
      </c>
      <c r="X18" s="70"/>
      <c r="Y18" s="70"/>
      <c r="Z18" s="70" t="s">
        <v>850</v>
      </c>
      <c r="AA18" s="70" t="e">
        <f>_xlfn.XLOOKUP(B18,[4]Pendentes!$D:$D,[4]Pendentes!$U:$U)</f>
        <v>#N/A</v>
      </c>
      <c r="AB18" s="70"/>
      <c r="AC18" s="70"/>
    </row>
    <row r="19" spans="1:29" ht="60.75">
      <c r="A19" s="69" t="s">
        <v>756</v>
      </c>
      <c r="B19" s="69">
        <v>7900453110</v>
      </c>
      <c r="C19" s="69" t="e">
        <f>_xlfn.XLOOKUP(B19,'[2]Ajustes RL Poste'!$A:$A,'[2]Ajustes RL Poste'!$K:$K)</f>
        <v>#N/A</v>
      </c>
      <c r="D19" s="69">
        <v>34.5</v>
      </c>
      <c r="E19" s="69"/>
      <c r="F19" s="69" t="s">
        <v>137</v>
      </c>
      <c r="G19" s="69" t="e">
        <f>_xlfn.XLOOKUP(F19,[3]Responsáveis!$B:$B,[3]Responsáveis!$F:$F)</f>
        <v>#N/A</v>
      </c>
      <c r="H19" s="69" t="s">
        <v>851</v>
      </c>
      <c r="I19" s="69" t="s">
        <v>852</v>
      </c>
      <c r="J19" s="69">
        <v>7900453110</v>
      </c>
      <c r="K19" s="69" t="s">
        <v>480</v>
      </c>
      <c r="L19" s="69" t="s">
        <v>760</v>
      </c>
      <c r="M19" s="69"/>
      <c r="N19" s="70" t="s">
        <v>780</v>
      </c>
      <c r="O19" s="71">
        <v>46213</v>
      </c>
      <c r="P19" s="71"/>
      <c r="Q19" s="71" t="s">
        <v>760</v>
      </c>
      <c r="R19" s="71" t="s">
        <v>694</v>
      </c>
      <c r="S19" s="37" t="s">
        <v>853</v>
      </c>
      <c r="T19" s="37" t="s">
        <v>782</v>
      </c>
      <c r="U19" s="73" t="s">
        <v>854</v>
      </c>
      <c r="V19" s="70">
        <v>510215</v>
      </c>
      <c r="W19" s="74" t="s">
        <v>762</v>
      </c>
      <c r="X19" s="71">
        <v>46204</v>
      </c>
      <c r="Y19" s="71">
        <v>46202</v>
      </c>
      <c r="Z19" s="70" t="s">
        <v>710</v>
      </c>
      <c r="AA19" s="70" t="e">
        <f>_xlfn.XLOOKUP(B19,[4]Pendentes!$D:$D,[4]Pendentes!$U:$U)</f>
        <v>#N/A</v>
      </c>
      <c r="AB19" s="70"/>
      <c r="AC19" s="70"/>
    </row>
    <row r="20" spans="1:29" ht="45.75">
      <c r="A20" s="70" t="s">
        <v>855</v>
      </c>
      <c r="B20" s="70">
        <v>5854566043</v>
      </c>
      <c r="C20" s="69" t="e">
        <f>_xlfn.XLOOKUP(B20,'[2]Ajustes RL Poste'!$A:$A,'[2]Ajustes RL Poste'!$K:$K)</f>
        <v>#N/A</v>
      </c>
      <c r="D20" s="70">
        <v>34.5</v>
      </c>
      <c r="E20" s="70">
        <v>400</v>
      </c>
      <c r="F20" s="70" t="s">
        <v>40</v>
      </c>
      <c r="G20" s="69" t="e">
        <f>_xlfn.XLOOKUP(F20,[3]Responsáveis!$B:$B,[3]Responsáveis!$F:$F)</f>
        <v>#N/A</v>
      </c>
      <c r="H20" s="70" t="s">
        <v>856</v>
      </c>
      <c r="I20" s="70" t="s">
        <v>857</v>
      </c>
      <c r="J20" s="70">
        <v>5854566043</v>
      </c>
      <c r="K20" s="70" t="s">
        <v>858</v>
      </c>
      <c r="L20" s="70" t="s">
        <v>760</v>
      </c>
      <c r="M20" s="70">
        <v>690241</v>
      </c>
      <c r="N20" s="70" t="s">
        <v>780</v>
      </c>
      <c r="O20" s="70" t="s">
        <v>823</v>
      </c>
      <c r="P20" s="97" t="s">
        <v>694</v>
      </c>
      <c r="Q20" s="70" t="s">
        <v>760</v>
      </c>
      <c r="R20" s="71">
        <v>46227</v>
      </c>
      <c r="S20" s="90" t="s">
        <v>859</v>
      </c>
      <c r="T20" s="37" t="s">
        <v>774</v>
      </c>
      <c r="U20" s="70">
        <v>3905</v>
      </c>
      <c r="V20" s="70">
        <v>513847</v>
      </c>
      <c r="W20" s="91" t="s">
        <v>694</v>
      </c>
      <c r="X20" s="71">
        <v>46223</v>
      </c>
      <c r="Y20" s="70"/>
      <c r="Z20" s="70" t="s">
        <v>496</v>
      </c>
      <c r="AA20" s="70" t="s">
        <v>9</v>
      </c>
      <c r="AB20" s="70"/>
      <c r="AC20" s="70"/>
    </row>
    <row r="21" spans="1:29" ht="76.5">
      <c r="A21" s="69" t="s">
        <v>756</v>
      </c>
      <c r="B21" s="69">
        <v>7957126085</v>
      </c>
      <c r="C21" s="69" t="e">
        <f>_xlfn.XLOOKUP(B21,'[2]Ajustes RL Poste'!$A:$A,'[2]Ajustes RL Poste'!$K:$K)</f>
        <v>#N/A</v>
      </c>
      <c r="D21" s="69">
        <v>34.5</v>
      </c>
      <c r="E21" s="69"/>
      <c r="F21" s="69" t="s">
        <v>528</v>
      </c>
      <c r="G21" s="69" t="e">
        <f>_xlfn.XLOOKUP(F21,[3]Responsáveis!$B:$B,[3]Responsáveis!$F:$F)</f>
        <v>#N/A</v>
      </c>
      <c r="H21" s="69" t="s">
        <v>860</v>
      </c>
      <c r="I21" s="69" t="s">
        <v>861</v>
      </c>
      <c r="J21" s="69">
        <v>7957126085</v>
      </c>
      <c r="K21" s="69" t="s">
        <v>862</v>
      </c>
      <c r="L21" s="69" t="s">
        <v>760</v>
      </c>
      <c r="M21" s="69"/>
      <c r="N21" s="70" t="s">
        <v>844</v>
      </c>
      <c r="O21" s="70" t="s">
        <v>772</v>
      </c>
      <c r="P21" s="71" t="s">
        <v>772</v>
      </c>
      <c r="Q21" s="71" t="s">
        <v>770</v>
      </c>
      <c r="R21" s="71" t="s">
        <v>772</v>
      </c>
      <c r="S21" s="37" t="s">
        <v>863</v>
      </c>
      <c r="T21" s="37" t="s">
        <v>782</v>
      </c>
      <c r="U21" s="73" t="s">
        <v>846</v>
      </c>
      <c r="V21" s="73" t="s">
        <v>864</v>
      </c>
      <c r="W21" s="74" t="s">
        <v>762</v>
      </c>
      <c r="X21" s="71">
        <v>46213</v>
      </c>
      <c r="Y21" s="71">
        <v>46213</v>
      </c>
      <c r="Z21" s="70" t="s">
        <v>730</v>
      </c>
      <c r="AA21" s="70" t="e">
        <f>_xlfn.XLOOKUP(B21,[4]Pendentes!$D:$D,[4]Pendentes!$U:$U)</f>
        <v>#N/A</v>
      </c>
      <c r="AB21" s="70" t="s">
        <v>865</v>
      </c>
      <c r="AC21" s="70"/>
    </row>
    <row r="22" spans="1:29" ht="60.75">
      <c r="A22" s="98" t="s">
        <v>756</v>
      </c>
      <c r="B22" s="69">
        <v>7900117013</v>
      </c>
      <c r="C22" s="69" t="e">
        <f>_xlfn.XLOOKUP(B22,'[2]Ajustes RL Poste'!$A:$A,'[2]Ajustes RL Poste'!$K:$K)</f>
        <v>#N/A</v>
      </c>
      <c r="D22" s="69">
        <v>13.8</v>
      </c>
      <c r="E22" s="69"/>
      <c r="F22" s="69" t="s">
        <v>97</v>
      </c>
      <c r="G22" s="69" t="e">
        <f>_xlfn.XLOOKUP(F22,[3]Responsáveis!$B:$B,[3]Responsáveis!$F:$F)</f>
        <v>#N/A</v>
      </c>
      <c r="H22" s="69" t="s">
        <v>866</v>
      </c>
      <c r="I22" s="69" t="s">
        <v>867</v>
      </c>
      <c r="J22" s="69">
        <v>7900117013</v>
      </c>
      <c r="K22" s="69" t="s">
        <v>868</v>
      </c>
      <c r="L22" s="69" t="s">
        <v>760</v>
      </c>
      <c r="M22" s="69"/>
      <c r="N22" s="70" t="s">
        <v>844</v>
      </c>
      <c r="O22" s="71" t="s">
        <v>869</v>
      </c>
      <c r="P22" s="71"/>
      <c r="Q22" s="71" t="s">
        <v>770</v>
      </c>
      <c r="R22" s="71">
        <v>46218</v>
      </c>
      <c r="S22" s="99" t="s">
        <v>870</v>
      </c>
      <c r="T22" s="99" t="s">
        <v>774</v>
      </c>
      <c r="U22" s="73" t="s">
        <v>846</v>
      </c>
      <c r="V22" s="70">
        <v>510217</v>
      </c>
      <c r="W22" s="74" t="s">
        <v>762</v>
      </c>
      <c r="X22" s="71">
        <v>46213</v>
      </c>
      <c r="Y22" s="71">
        <v>46218</v>
      </c>
      <c r="Z22" s="70" t="s">
        <v>871</v>
      </c>
      <c r="AA22" s="70" t="e">
        <f>_xlfn.XLOOKUP(B22,[4]Pendentes!$D:$D,[4]Pendentes!$U:$U)</f>
        <v>#N/A</v>
      </c>
      <c r="AB22" s="70" t="s">
        <v>872</v>
      </c>
      <c r="AC22" s="70"/>
    </row>
    <row r="23" spans="1:29" ht="60.75">
      <c r="A23" s="69" t="s">
        <v>855</v>
      </c>
      <c r="B23" s="98">
        <v>5855411017</v>
      </c>
      <c r="C23" s="69" t="e">
        <f>_xlfn.XLOOKUP(B23,'[2]Ajustes RL Poste'!$A:$A,'[2]Ajustes RL Poste'!$K:$K)</f>
        <v>#N/A</v>
      </c>
      <c r="D23" s="69">
        <v>13.8</v>
      </c>
      <c r="E23" s="69">
        <v>239</v>
      </c>
      <c r="F23" s="69" t="s">
        <v>302</v>
      </c>
      <c r="G23" s="69" t="e">
        <f>_xlfn.XLOOKUP(F23,[3]Responsáveis!$B:$B,[3]Responsáveis!$F:$F)</f>
        <v>#N/A</v>
      </c>
      <c r="H23" s="69" t="s">
        <v>873</v>
      </c>
      <c r="I23" s="69"/>
      <c r="J23" s="69" t="s">
        <v>874</v>
      </c>
      <c r="K23" s="69" t="s">
        <v>875</v>
      </c>
      <c r="L23" s="69" t="s">
        <v>760</v>
      </c>
      <c r="M23" s="69">
        <v>651638</v>
      </c>
      <c r="N23" s="70" t="s">
        <v>844</v>
      </c>
      <c r="O23" s="70" t="s">
        <v>869</v>
      </c>
      <c r="P23" s="89" t="s">
        <v>694</v>
      </c>
      <c r="Q23" s="71" t="s">
        <v>770</v>
      </c>
      <c r="R23" s="71" t="s">
        <v>694</v>
      </c>
      <c r="S23" s="90" t="s">
        <v>876</v>
      </c>
      <c r="T23" s="37" t="s">
        <v>877</v>
      </c>
      <c r="U23" s="73" t="s">
        <v>846</v>
      </c>
      <c r="V23" s="70">
        <v>514628</v>
      </c>
      <c r="W23" s="74" t="s">
        <v>762</v>
      </c>
      <c r="X23" s="71">
        <v>46213</v>
      </c>
      <c r="Y23" s="71">
        <v>46213</v>
      </c>
      <c r="Z23" s="70" t="s">
        <v>496</v>
      </c>
      <c r="AA23" s="70" t="s">
        <v>15</v>
      </c>
      <c r="AB23" s="70" t="s">
        <v>878</v>
      </c>
      <c r="AC23" s="100"/>
    </row>
    <row r="24" spans="1:29" ht="60.75">
      <c r="A24" s="69" t="s">
        <v>756</v>
      </c>
      <c r="B24" s="69">
        <v>7900018004</v>
      </c>
      <c r="C24" s="69" t="e">
        <f>_xlfn.XLOOKUP(B24,'[2]Ajustes RL Poste'!$A:$A,'[2]Ajustes RL Poste'!$K:$K)</f>
        <v>#N/A</v>
      </c>
      <c r="D24" s="69">
        <v>34.5</v>
      </c>
      <c r="E24" s="69"/>
      <c r="F24" s="69" t="s">
        <v>57</v>
      </c>
      <c r="G24" s="69" t="e">
        <f>_xlfn.XLOOKUP(F24,[3]Responsáveis!$B:$B,[3]Responsáveis!$F:$F)</f>
        <v>#N/A</v>
      </c>
      <c r="H24" s="69" t="s">
        <v>879</v>
      </c>
      <c r="I24" s="69"/>
      <c r="J24" s="69">
        <v>7900018004</v>
      </c>
      <c r="K24" s="69" t="s">
        <v>880</v>
      </c>
      <c r="L24" s="69" t="s">
        <v>760</v>
      </c>
      <c r="M24" s="96"/>
      <c r="N24" s="70" t="s">
        <v>822</v>
      </c>
      <c r="O24" s="71">
        <v>46169</v>
      </c>
      <c r="P24" s="78" t="s">
        <v>762</v>
      </c>
      <c r="Q24" s="71" t="s">
        <v>760</v>
      </c>
      <c r="R24" s="71">
        <v>46169</v>
      </c>
      <c r="S24" s="72" t="s">
        <v>881</v>
      </c>
      <c r="T24" s="72"/>
      <c r="U24" s="73" t="s">
        <v>825</v>
      </c>
      <c r="V24" s="70">
        <v>508886</v>
      </c>
      <c r="W24" s="74" t="s">
        <v>762</v>
      </c>
      <c r="X24" s="71">
        <v>46167</v>
      </c>
      <c r="Y24" s="71">
        <v>46167</v>
      </c>
      <c r="Z24" s="70" t="s">
        <v>765</v>
      </c>
      <c r="AA24" s="70" t="e">
        <f>_xlfn.XLOOKUP(B24,[4]Pendentes!$D:$D,[4]Pendentes!$U:$U)</f>
        <v>#N/A</v>
      </c>
      <c r="AB24" s="70"/>
      <c r="AC24" s="70"/>
    </row>
    <row r="25" spans="1:29" ht="29.25">
      <c r="A25" s="70" t="s">
        <v>855</v>
      </c>
      <c r="B25" s="70">
        <v>5856070091</v>
      </c>
      <c r="C25" s="69" t="e">
        <f>_xlfn.XLOOKUP(B25,'[2]Ajustes RL Poste'!$A:$A,'[2]Ajustes RL Poste'!$K:$K)</f>
        <v>#N/A</v>
      </c>
      <c r="D25" s="70">
        <v>34.5</v>
      </c>
      <c r="E25" s="70">
        <v>400</v>
      </c>
      <c r="F25" s="70" t="s">
        <v>74</v>
      </c>
      <c r="G25" s="76" t="s">
        <v>766</v>
      </c>
      <c r="H25" s="70" t="s">
        <v>882</v>
      </c>
      <c r="I25" s="70"/>
      <c r="J25" s="70">
        <v>5862236091</v>
      </c>
      <c r="K25" s="70" t="s">
        <v>883</v>
      </c>
      <c r="L25" s="70" t="s">
        <v>760</v>
      </c>
      <c r="M25" s="70">
        <v>690241</v>
      </c>
      <c r="N25" s="70" t="s">
        <v>771</v>
      </c>
      <c r="O25" s="70" t="s">
        <v>884</v>
      </c>
      <c r="P25" s="70"/>
      <c r="Q25" s="70"/>
      <c r="R25" s="70"/>
      <c r="S25" s="101" t="s">
        <v>885</v>
      </c>
      <c r="T25" s="102" t="s">
        <v>886</v>
      </c>
      <c r="U25" s="70">
        <v>5908</v>
      </c>
      <c r="V25" s="70">
        <v>514814</v>
      </c>
      <c r="W25" s="74" t="s">
        <v>762</v>
      </c>
      <c r="X25" s="71">
        <v>46223</v>
      </c>
      <c r="Y25" s="71">
        <v>46223</v>
      </c>
      <c r="Z25" s="70" t="s">
        <v>887</v>
      </c>
      <c r="AA25" s="70" t="s">
        <v>9</v>
      </c>
      <c r="AB25" s="70" t="s">
        <v>888</v>
      </c>
      <c r="AC25" s="70"/>
    </row>
    <row r="26" spans="1:29" ht="244.5">
      <c r="A26" s="98" t="s">
        <v>855</v>
      </c>
      <c r="B26" s="98">
        <v>5858783119</v>
      </c>
      <c r="C26" s="98" t="e">
        <f>_xlfn.XLOOKUP(B26,'[2]Ajustes RL Poste'!$A:$A,'[2]Ajustes RL Poste'!$K:$K)</f>
        <v>#N/A</v>
      </c>
      <c r="D26" s="98">
        <v>34.5</v>
      </c>
      <c r="E26" s="98">
        <v>400</v>
      </c>
      <c r="F26" s="98" t="s">
        <v>361</v>
      </c>
      <c r="G26" s="98" t="e">
        <f>_xlfn.XLOOKUP(F26,[3]Responsáveis!$B:$B,[3]Responsáveis!$F:$F)</f>
        <v>#N/A</v>
      </c>
      <c r="H26" s="98" t="s">
        <v>889</v>
      </c>
      <c r="I26" s="98"/>
      <c r="J26" s="98">
        <v>5858783119</v>
      </c>
      <c r="K26" s="98" t="s">
        <v>890</v>
      </c>
      <c r="L26" s="98" t="s">
        <v>760</v>
      </c>
      <c r="M26" s="98">
        <v>690241</v>
      </c>
      <c r="N26" s="103" t="s">
        <v>891</v>
      </c>
      <c r="O26" s="103" t="s">
        <v>892</v>
      </c>
      <c r="P26" s="89" t="s">
        <v>694</v>
      </c>
      <c r="Q26" s="104" t="s">
        <v>760</v>
      </c>
      <c r="R26" s="105" t="s">
        <v>694</v>
      </c>
      <c r="S26" s="106" t="s">
        <v>893</v>
      </c>
      <c r="T26" s="107" t="s">
        <v>886</v>
      </c>
      <c r="U26" s="108">
        <v>6905</v>
      </c>
      <c r="V26" s="98" t="s">
        <v>894</v>
      </c>
      <c r="W26" s="91" t="s">
        <v>694</v>
      </c>
      <c r="X26" s="98"/>
      <c r="Y26" s="98"/>
      <c r="Z26" s="98" t="s">
        <v>895</v>
      </c>
      <c r="AA26" s="98" t="s">
        <v>15</v>
      </c>
      <c r="AB26" s="98" t="s">
        <v>896</v>
      </c>
      <c r="AC26" s="98"/>
    </row>
    <row r="27" spans="1:29" ht="351">
      <c r="A27" s="69" t="s">
        <v>855</v>
      </c>
      <c r="B27" s="98">
        <v>5827102054</v>
      </c>
      <c r="C27" s="69" t="e">
        <f>_xlfn.XLOOKUP(B27,'[2]Ajustes RL Poste'!$A:$A,'[2]Ajustes RL Poste'!$K:$K)</f>
        <v>#N/A</v>
      </c>
      <c r="D27" s="69">
        <v>34.5</v>
      </c>
      <c r="E27" s="69">
        <v>200</v>
      </c>
      <c r="F27" s="69" t="s">
        <v>243</v>
      </c>
      <c r="G27" s="69" t="e">
        <f>_xlfn.XLOOKUP(F27,[3]Responsáveis!$B:$B,[3]Responsáveis!$F:$F)</f>
        <v>#N/A</v>
      </c>
      <c r="H27" s="69" t="s">
        <v>897</v>
      </c>
      <c r="I27" s="69" t="s">
        <v>898</v>
      </c>
      <c r="J27" s="69" t="s">
        <v>899</v>
      </c>
      <c r="K27" s="69" t="s">
        <v>900</v>
      </c>
      <c r="L27" s="69" t="s">
        <v>770</v>
      </c>
      <c r="M27" s="69"/>
      <c r="N27" s="70" t="s">
        <v>844</v>
      </c>
      <c r="O27" s="70"/>
      <c r="P27" s="89" t="s">
        <v>694</v>
      </c>
      <c r="Q27" s="71" t="s">
        <v>760</v>
      </c>
      <c r="R27" s="71" t="s">
        <v>694</v>
      </c>
      <c r="S27" s="109" t="s">
        <v>901</v>
      </c>
      <c r="T27" s="110" t="s">
        <v>877</v>
      </c>
      <c r="U27" s="73" t="s">
        <v>846</v>
      </c>
      <c r="V27" s="70" t="s">
        <v>902</v>
      </c>
      <c r="W27" s="74" t="s">
        <v>762</v>
      </c>
      <c r="X27" s="70"/>
      <c r="Y27" s="71"/>
      <c r="Z27" s="70" t="s">
        <v>903</v>
      </c>
      <c r="AA27" s="70" t="s">
        <v>904</v>
      </c>
      <c r="AB27" s="70"/>
      <c r="AC27" s="70"/>
    </row>
    <row r="28" spans="1:29" ht="60.75">
      <c r="A28" s="69" t="s">
        <v>855</v>
      </c>
      <c r="B28" s="98">
        <v>5801866013</v>
      </c>
      <c r="C28" s="69" t="e">
        <f>_xlfn.XLOOKUP(B28,'[2]Ajustes RL Poste'!$A:$A,'[2]Ajustes RL Poste'!$K:$K)</f>
        <v>#N/A</v>
      </c>
      <c r="D28" s="69">
        <v>13.8</v>
      </c>
      <c r="E28" s="69">
        <v>167</v>
      </c>
      <c r="F28" s="69" t="s">
        <v>97</v>
      </c>
      <c r="G28" s="69" t="e">
        <f>_xlfn.XLOOKUP(F28,[3]Responsáveis!$B:$B,[3]Responsáveis!$F:$F)</f>
        <v>#N/A</v>
      </c>
      <c r="H28" s="69" t="s">
        <v>905</v>
      </c>
      <c r="I28" s="69" t="s">
        <v>906</v>
      </c>
      <c r="J28" s="69" t="s">
        <v>907</v>
      </c>
      <c r="K28" s="69" t="s">
        <v>908</v>
      </c>
      <c r="L28" s="69" t="s">
        <v>760</v>
      </c>
      <c r="M28" s="69">
        <v>690669</v>
      </c>
      <c r="N28" s="70" t="s">
        <v>844</v>
      </c>
      <c r="O28" s="70" t="s">
        <v>909</v>
      </c>
      <c r="P28" s="89" t="s">
        <v>694</v>
      </c>
      <c r="Q28" s="71" t="s">
        <v>760</v>
      </c>
      <c r="R28" s="71" t="s">
        <v>694</v>
      </c>
      <c r="S28" s="90" t="s">
        <v>910</v>
      </c>
      <c r="T28" s="37" t="s">
        <v>877</v>
      </c>
      <c r="U28" s="73" t="s">
        <v>846</v>
      </c>
      <c r="V28" s="70">
        <v>514627</v>
      </c>
      <c r="W28" s="74" t="s">
        <v>762</v>
      </c>
      <c r="X28" s="71">
        <v>46213</v>
      </c>
      <c r="Y28" s="71">
        <v>46213</v>
      </c>
      <c r="Z28" s="70" t="s">
        <v>496</v>
      </c>
      <c r="AA28" s="70"/>
      <c r="AB28" s="70" t="s">
        <v>911</v>
      </c>
      <c r="AC28" s="70"/>
    </row>
    <row r="29" spans="1:29" ht="60.75">
      <c r="A29" s="69" t="s">
        <v>756</v>
      </c>
      <c r="B29" s="69">
        <v>7900573047</v>
      </c>
      <c r="C29" s="69" t="e">
        <f>_xlfn.XLOOKUP(B29,'[2]Ajustes RL Poste'!$A:$A,'[2]Ajustes RL Poste'!$K:$K)</f>
        <v>#N/A</v>
      </c>
      <c r="D29" s="69">
        <v>13.8</v>
      </c>
      <c r="E29" s="69"/>
      <c r="F29" s="69" t="s">
        <v>191</v>
      </c>
      <c r="G29" s="69" t="e">
        <f>_xlfn.XLOOKUP(F29,[3]Responsáveis!$B:$B,[3]Responsáveis!$F:$F)</f>
        <v>#N/A</v>
      </c>
      <c r="H29" s="69" t="s">
        <v>912</v>
      </c>
      <c r="I29" s="69" t="s">
        <v>913</v>
      </c>
      <c r="J29" s="69">
        <v>7900573047</v>
      </c>
      <c r="K29" s="69" t="s">
        <v>453</v>
      </c>
      <c r="L29" s="69" t="s">
        <v>760</v>
      </c>
      <c r="M29" s="69"/>
      <c r="N29" s="70" t="s">
        <v>832</v>
      </c>
      <c r="O29" s="70" t="s">
        <v>823</v>
      </c>
      <c r="P29" s="71" t="s">
        <v>762</v>
      </c>
      <c r="Q29" s="71" t="s">
        <v>770</v>
      </c>
      <c r="R29" s="71">
        <v>46223</v>
      </c>
      <c r="S29" s="111" t="s">
        <v>914</v>
      </c>
      <c r="T29" s="111" t="s">
        <v>774</v>
      </c>
      <c r="U29" s="93" t="s">
        <v>834</v>
      </c>
      <c r="V29" s="112" t="s">
        <v>915</v>
      </c>
      <c r="W29" s="74" t="s">
        <v>762</v>
      </c>
      <c r="X29" s="38">
        <v>46213</v>
      </c>
      <c r="Y29" s="71">
        <v>46213</v>
      </c>
      <c r="Z29" s="70" t="s">
        <v>916</v>
      </c>
      <c r="AA29" s="70" t="e">
        <f>_xlfn.XLOOKUP(B29,[4]Pendentes!$D:$D,[4]Pendentes!$U:$U)</f>
        <v>#N/A</v>
      </c>
      <c r="AB29" s="70" t="s">
        <v>917</v>
      </c>
      <c r="AC29" s="70"/>
    </row>
    <row r="30" spans="1:29" ht="60.75">
      <c r="A30" s="69" t="s">
        <v>855</v>
      </c>
      <c r="B30" s="98">
        <v>5844630060</v>
      </c>
      <c r="C30" s="69" t="e">
        <f>_xlfn.XLOOKUP(B30,'[2]Ajustes RL Poste'!$A:$A,'[2]Ajustes RL Poste'!$K:$K)</f>
        <v>#N/A</v>
      </c>
      <c r="D30" s="69">
        <v>13.8</v>
      </c>
      <c r="E30" s="69">
        <v>239</v>
      </c>
      <c r="F30" s="69" t="s">
        <v>533</v>
      </c>
      <c r="G30" s="69" t="e">
        <f>_xlfn.XLOOKUP(F30,[3]Responsáveis!$B:$B,[3]Responsáveis!$F:$F)</f>
        <v>#N/A</v>
      </c>
      <c r="H30" s="69" t="s">
        <v>918</v>
      </c>
      <c r="I30" s="69"/>
      <c r="J30" s="69">
        <v>5844630060</v>
      </c>
      <c r="K30" s="69" t="s">
        <v>919</v>
      </c>
      <c r="L30" s="69" t="s">
        <v>760</v>
      </c>
      <c r="M30" s="69">
        <v>690236</v>
      </c>
      <c r="N30" s="70" t="e">
        <f>_xlfn.XLOOKUP(F30,'[5]dSeg_Territorial (2)'!$B:$B,'[5]dSeg_Territorial (2)'!$K:$K)</f>
        <v>#N/A</v>
      </c>
      <c r="O30" s="70" t="s">
        <v>884</v>
      </c>
      <c r="P30" s="78" t="s">
        <v>762</v>
      </c>
      <c r="Q30" s="71" t="s">
        <v>770</v>
      </c>
      <c r="R30" s="71">
        <v>46227</v>
      </c>
      <c r="S30" s="113" t="s">
        <v>920</v>
      </c>
      <c r="T30" s="114" t="s">
        <v>886</v>
      </c>
      <c r="U30" s="70">
        <v>6903</v>
      </c>
      <c r="V30" s="70">
        <v>512848</v>
      </c>
      <c r="W30" s="74" t="s">
        <v>762</v>
      </c>
      <c r="X30" s="71">
        <v>46219</v>
      </c>
      <c r="Y30" s="71">
        <v>46223</v>
      </c>
      <c r="Z30" s="70" t="s">
        <v>921</v>
      </c>
      <c r="AA30" s="70"/>
      <c r="AB30" s="70" t="s">
        <v>922</v>
      </c>
      <c r="AC30" s="70"/>
    </row>
    <row r="31" spans="1:29" ht="60.75">
      <c r="A31" s="69" t="s">
        <v>756</v>
      </c>
      <c r="B31" s="69">
        <v>7900230155</v>
      </c>
      <c r="C31" s="69" t="e">
        <f>_xlfn.XLOOKUP(B31,'[2]Ajustes RL Poste'!$A:$A,'[2]Ajustes RL Poste'!$K:$K)</f>
        <v>#N/A</v>
      </c>
      <c r="D31" s="69">
        <v>34.5</v>
      </c>
      <c r="E31" s="69"/>
      <c r="F31" s="69" t="s">
        <v>153</v>
      </c>
      <c r="G31" s="69" t="e">
        <f>_xlfn.XLOOKUP(F31,[3]Responsáveis!$B:$B,[3]Responsáveis!$F:$F)</f>
        <v>#N/A</v>
      </c>
      <c r="H31" s="69" t="s">
        <v>923</v>
      </c>
      <c r="I31" s="69"/>
      <c r="J31" s="69">
        <v>7900230155</v>
      </c>
      <c r="K31" s="69" t="s">
        <v>489</v>
      </c>
      <c r="L31" s="69" t="s">
        <v>760</v>
      </c>
      <c r="M31" s="69"/>
      <c r="N31" s="70" t="s">
        <v>761</v>
      </c>
      <c r="O31" s="70" t="s">
        <v>869</v>
      </c>
      <c r="P31" s="78" t="s">
        <v>762</v>
      </c>
      <c r="Q31" s="71" t="s">
        <v>760</v>
      </c>
      <c r="R31" s="71">
        <v>46210</v>
      </c>
      <c r="S31" s="37" t="s">
        <v>924</v>
      </c>
      <c r="T31" s="37"/>
      <c r="U31" s="73"/>
      <c r="V31" s="70"/>
      <c r="W31" s="74" t="s">
        <v>762</v>
      </c>
      <c r="X31" s="71">
        <v>46164</v>
      </c>
      <c r="Y31" s="71">
        <v>46164</v>
      </c>
      <c r="Z31" s="70" t="s">
        <v>765</v>
      </c>
      <c r="AA31" s="70" t="e">
        <f>_xlfn.XLOOKUP(B31,[4]Pendentes!$D:$D,[4]Pendentes!$U:$U)</f>
        <v>#N/A</v>
      </c>
      <c r="AB31" s="70"/>
      <c r="AC31" s="70"/>
    </row>
    <row r="32" spans="1:29" ht="381.75">
      <c r="A32" s="69" t="s">
        <v>855</v>
      </c>
      <c r="B32" s="98">
        <v>5850308009</v>
      </c>
      <c r="C32" s="69"/>
      <c r="D32" s="69">
        <v>13.8</v>
      </c>
      <c r="E32" s="69">
        <v>239</v>
      </c>
      <c r="F32" s="69" t="s">
        <v>50</v>
      </c>
      <c r="G32" s="69" t="e">
        <f>_xlfn.XLOOKUP(F32,[3]Responsáveis!$B:$B,[3]Responsáveis!$F:$F)</f>
        <v>#N/A</v>
      </c>
      <c r="H32" s="69" t="s">
        <v>925</v>
      </c>
      <c r="I32" s="69"/>
      <c r="J32" s="69" t="s">
        <v>926</v>
      </c>
      <c r="K32" s="69" t="s">
        <v>460</v>
      </c>
      <c r="L32" s="69" t="s">
        <v>760</v>
      </c>
      <c r="M32" s="69">
        <v>651638</v>
      </c>
      <c r="N32" s="70" t="s">
        <v>761</v>
      </c>
      <c r="O32" s="70" t="s">
        <v>927</v>
      </c>
      <c r="P32" s="115" t="s">
        <v>694</v>
      </c>
      <c r="Q32" s="71" t="s">
        <v>770</v>
      </c>
      <c r="R32" s="71" t="s">
        <v>694</v>
      </c>
      <c r="S32" s="37" t="s">
        <v>928</v>
      </c>
      <c r="T32" s="37" t="s">
        <v>877</v>
      </c>
      <c r="U32" s="73" t="s">
        <v>764</v>
      </c>
      <c r="V32" s="70"/>
      <c r="W32" s="91" t="s">
        <v>694</v>
      </c>
      <c r="X32" s="70"/>
      <c r="Y32" s="70"/>
      <c r="Z32" s="69" t="s">
        <v>929</v>
      </c>
      <c r="AA32" s="70"/>
      <c r="AB32" s="70"/>
      <c r="AC32" s="70"/>
    </row>
    <row r="33" spans="1:29" ht="60.75">
      <c r="A33" s="70" t="s">
        <v>855</v>
      </c>
      <c r="B33" s="70">
        <v>5800859011</v>
      </c>
      <c r="C33" s="69"/>
      <c r="D33" s="70">
        <v>13.8</v>
      </c>
      <c r="E33" s="70">
        <v>219</v>
      </c>
      <c r="F33" s="70" t="s">
        <v>49</v>
      </c>
      <c r="G33" s="69" t="e">
        <f>_xlfn.XLOOKUP(F33,[3]Responsáveis!$B:$B,[3]Responsáveis!$F:$F)</f>
        <v>#N/A</v>
      </c>
      <c r="H33" s="69" t="s">
        <v>930</v>
      </c>
      <c r="I33" s="69"/>
      <c r="J33" s="69">
        <v>5800859011</v>
      </c>
      <c r="K33" s="69" t="s">
        <v>460</v>
      </c>
      <c r="L33" s="69" t="s">
        <v>760</v>
      </c>
      <c r="M33" s="69">
        <v>651638</v>
      </c>
      <c r="N33" s="70" t="s">
        <v>761</v>
      </c>
      <c r="O33" s="70" t="s">
        <v>927</v>
      </c>
      <c r="P33" s="89" t="s">
        <v>694</v>
      </c>
      <c r="Q33" s="71" t="s">
        <v>770</v>
      </c>
      <c r="R33" s="70" t="s">
        <v>694</v>
      </c>
      <c r="S33" s="90" t="s">
        <v>931</v>
      </c>
      <c r="T33" s="37" t="s">
        <v>877</v>
      </c>
      <c r="U33" s="70">
        <v>7902</v>
      </c>
      <c r="V33" s="70" t="s">
        <v>932</v>
      </c>
      <c r="W33" s="74" t="s">
        <v>762</v>
      </c>
      <c r="X33" s="71">
        <v>46219</v>
      </c>
      <c r="Y33" s="70"/>
      <c r="Z33" s="70"/>
      <c r="AA33" s="84"/>
      <c r="AB33" s="84"/>
      <c r="AC33" s="84"/>
    </row>
    <row r="34" spans="1:29" ht="57.75">
      <c r="A34" s="69" t="s">
        <v>855</v>
      </c>
      <c r="B34" s="116">
        <v>5800438116</v>
      </c>
      <c r="C34" s="69" t="e">
        <f>_xlfn.XLOOKUP(B34,'[2]Ajustes RL Poste'!$A:$A,'[2]Ajustes RL Poste'!$K:$K)</f>
        <v>#N/A</v>
      </c>
      <c r="D34" s="76">
        <v>34.5</v>
      </c>
      <c r="E34" s="76">
        <v>200</v>
      </c>
      <c r="F34" s="76" t="s">
        <v>200</v>
      </c>
      <c r="G34" s="76" t="s">
        <v>766</v>
      </c>
      <c r="H34" s="76" t="s">
        <v>933</v>
      </c>
      <c r="I34" s="76" t="s">
        <v>934</v>
      </c>
      <c r="J34" s="76" t="s">
        <v>935</v>
      </c>
      <c r="K34" s="76" t="s">
        <v>936</v>
      </c>
      <c r="L34" s="69" t="s">
        <v>760</v>
      </c>
      <c r="M34" s="69">
        <v>690240</v>
      </c>
      <c r="N34" s="70" t="s">
        <v>771</v>
      </c>
      <c r="O34" s="70" t="s">
        <v>937</v>
      </c>
      <c r="P34" s="89" t="s">
        <v>694</v>
      </c>
      <c r="Q34" s="71" t="s">
        <v>770</v>
      </c>
      <c r="R34" s="71" t="s">
        <v>694</v>
      </c>
      <c r="S34" s="90" t="s">
        <v>938</v>
      </c>
      <c r="T34" s="72" t="s">
        <v>886</v>
      </c>
      <c r="U34" s="70"/>
      <c r="V34" s="70" t="s">
        <v>939</v>
      </c>
      <c r="W34" s="74" t="s">
        <v>762</v>
      </c>
      <c r="X34" s="71">
        <v>46219</v>
      </c>
      <c r="Y34" s="71">
        <v>46223</v>
      </c>
      <c r="Z34" s="70" t="s">
        <v>940</v>
      </c>
      <c r="AA34" s="70"/>
      <c r="AB34" s="70"/>
      <c r="AC34" s="70"/>
    </row>
    <row r="35" spans="1:29" ht="60.75">
      <c r="A35" s="117" t="s">
        <v>855</v>
      </c>
      <c r="B35" s="117">
        <v>5800371025</v>
      </c>
      <c r="C35" s="117" t="s">
        <v>941</v>
      </c>
      <c r="D35" s="118">
        <v>34.5</v>
      </c>
      <c r="E35" s="119"/>
      <c r="F35" s="117" t="s">
        <v>154</v>
      </c>
      <c r="G35" s="69" t="e">
        <f>_xlfn.XLOOKUP(F35,[3]Responsáveis!$B:$B,[3]Responsáveis!$F:$F)</f>
        <v>#N/A</v>
      </c>
      <c r="H35" s="69" t="s">
        <v>942</v>
      </c>
      <c r="I35" s="118"/>
      <c r="J35" s="117">
        <v>5800371025</v>
      </c>
      <c r="K35" s="117" t="s">
        <v>460</v>
      </c>
      <c r="L35" s="69" t="s">
        <v>943</v>
      </c>
      <c r="M35" s="69">
        <v>651638</v>
      </c>
      <c r="N35" s="70" t="s">
        <v>822</v>
      </c>
      <c r="O35" s="117"/>
      <c r="P35" s="72" t="s">
        <v>762</v>
      </c>
      <c r="Q35" s="117" t="s">
        <v>760</v>
      </c>
      <c r="R35" s="120">
        <v>46233</v>
      </c>
      <c r="S35" s="90" t="s">
        <v>944</v>
      </c>
      <c r="T35" s="37" t="s">
        <v>774</v>
      </c>
      <c r="U35" s="70">
        <v>7902</v>
      </c>
      <c r="V35" s="70">
        <v>514635</v>
      </c>
      <c r="W35" s="74" t="s">
        <v>762</v>
      </c>
      <c r="X35" s="71">
        <v>46219</v>
      </c>
      <c r="Y35" s="117" t="s">
        <v>945</v>
      </c>
      <c r="Z35" s="118"/>
      <c r="AA35" s="118" t="s">
        <v>9</v>
      </c>
      <c r="AB35" s="118"/>
      <c r="AC35" s="118"/>
    </row>
    <row r="36" spans="1:29">
      <c r="A36" s="117" t="s">
        <v>855</v>
      </c>
      <c r="B36" s="117">
        <v>5836786094</v>
      </c>
      <c r="C36" s="117" t="s">
        <v>946</v>
      </c>
      <c r="D36" s="117">
        <v>34.5</v>
      </c>
      <c r="E36" s="117">
        <v>200</v>
      </c>
      <c r="F36" s="117" t="s">
        <v>947</v>
      </c>
      <c r="G36" s="117" t="s">
        <v>336</v>
      </c>
      <c r="H36" s="117"/>
      <c r="I36" s="117" t="s">
        <v>948</v>
      </c>
      <c r="J36" s="117">
        <v>5836786094</v>
      </c>
      <c r="K36" s="117" t="s">
        <v>949</v>
      </c>
      <c r="L36" s="117" t="s">
        <v>760</v>
      </c>
      <c r="M36" s="69" t="s">
        <v>950</v>
      </c>
      <c r="N36" s="117" t="s">
        <v>951</v>
      </c>
      <c r="O36" s="117"/>
      <c r="P36" s="117" t="s">
        <v>694</v>
      </c>
      <c r="Q36" s="117" t="s">
        <v>770</v>
      </c>
      <c r="R36" s="117" t="s">
        <v>694</v>
      </c>
      <c r="S36" s="121" t="s">
        <v>952</v>
      </c>
      <c r="T36" s="122">
        <v>8481</v>
      </c>
      <c r="U36" s="117"/>
      <c r="V36" s="117">
        <v>517520</v>
      </c>
      <c r="W36" s="91" t="s">
        <v>694</v>
      </c>
      <c r="X36" s="117"/>
      <c r="Y36" s="117"/>
      <c r="Z36" s="117" t="s">
        <v>953</v>
      </c>
      <c r="AA36" s="117"/>
      <c r="AB36" s="117"/>
      <c r="AC36" s="117"/>
    </row>
    <row r="37" spans="1:29" ht="60.75">
      <c r="A37" s="69" t="s">
        <v>855</v>
      </c>
      <c r="B37" s="69">
        <v>5853360007</v>
      </c>
      <c r="C37" s="69" t="s">
        <v>946</v>
      </c>
      <c r="D37" s="69">
        <v>34.5</v>
      </c>
      <c r="E37" s="69">
        <v>200</v>
      </c>
      <c r="F37" s="69" t="s">
        <v>186</v>
      </c>
      <c r="G37" s="69" t="e">
        <f>_xlfn.XLOOKUP(F37,[3]Responsáveis!$B:$B,[3]Responsáveis!$F:$F)</f>
        <v>#N/A</v>
      </c>
      <c r="H37" s="69" t="s">
        <v>954</v>
      </c>
      <c r="I37" s="69"/>
      <c r="J37" s="69">
        <v>5853360007</v>
      </c>
      <c r="K37" s="69" t="s">
        <v>955</v>
      </c>
      <c r="L37" s="69" t="s">
        <v>770</v>
      </c>
      <c r="M37" s="69"/>
      <c r="N37" s="69" t="s">
        <v>956</v>
      </c>
      <c r="O37" s="69"/>
      <c r="P37" s="89" t="s">
        <v>694</v>
      </c>
      <c r="Q37" s="69" t="s">
        <v>760</v>
      </c>
      <c r="R37" s="69" t="s">
        <v>694</v>
      </c>
      <c r="S37" s="90"/>
      <c r="T37" s="72" t="s">
        <v>886</v>
      </c>
      <c r="U37" s="69"/>
      <c r="V37" s="69"/>
      <c r="W37" s="91" t="s">
        <v>694</v>
      </c>
      <c r="X37" s="69"/>
      <c r="Y37" s="69"/>
      <c r="Z37" s="69" t="s">
        <v>497</v>
      </c>
      <c r="AA37" s="69" t="s">
        <v>14</v>
      </c>
      <c r="AB37" s="69"/>
      <c r="AC37" s="69"/>
    </row>
    <row r="38" spans="1:29">
      <c r="A38" s="70" t="s">
        <v>855</v>
      </c>
      <c r="B38" s="70" t="s">
        <v>957</v>
      </c>
      <c r="C38" s="70" t="s">
        <v>941</v>
      </c>
      <c r="D38" s="70">
        <v>13.8</v>
      </c>
      <c r="E38" s="70">
        <v>167</v>
      </c>
      <c r="F38" s="70" t="s">
        <v>958</v>
      </c>
      <c r="G38" s="70" t="s">
        <v>68</v>
      </c>
      <c r="H38" s="70" t="s">
        <v>148</v>
      </c>
      <c r="I38" s="70"/>
      <c r="J38" s="70">
        <v>5803327001</v>
      </c>
      <c r="K38" s="70" t="s">
        <v>959</v>
      </c>
      <c r="L38" s="70" t="s">
        <v>760</v>
      </c>
      <c r="M38" s="70">
        <v>651638</v>
      </c>
      <c r="N38" s="70" t="s">
        <v>808</v>
      </c>
      <c r="O38" s="70"/>
      <c r="P38" s="70"/>
      <c r="Q38" s="70"/>
      <c r="R38" s="70"/>
      <c r="S38" s="70"/>
      <c r="T38" s="70"/>
      <c r="U38" s="70"/>
      <c r="V38" s="70"/>
      <c r="W38" s="74" t="s">
        <v>762</v>
      </c>
      <c r="X38" s="70"/>
      <c r="Y38" s="70"/>
      <c r="Z38" s="70" t="s">
        <v>960</v>
      </c>
      <c r="AA38" s="70"/>
      <c r="AB38" s="70"/>
      <c r="AC38" s="70"/>
    </row>
  </sheetData>
  <mergeCells count="3">
    <mergeCell ref="A1:N1"/>
    <mergeCell ref="O1:U1"/>
    <mergeCell ref="V1:A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83E57-83F9-433A-8E20-FF9303444787}">
  <dimension ref="A1:Z135"/>
  <sheetViews>
    <sheetView zoomScale="115" zoomScaleNormal="115" workbookViewId="0">
      <selection activeCell="D135" sqref="D135"/>
    </sheetView>
  </sheetViews>
  <sheetFormatPr defaultRowHeight="15" customHeight="1"/>
  <cols>
    <col min="1" max="1" width="16.85546875" style="4" customWidth="1"/>
    <col min="2" max="2" width="8.7109375" style="5" customWidth="1"/>
    <col min="3" max="3" width="34" style="5" bestFit="1" customWidth="1"/>
    <col min="4" max="4" width="28.140625" style="5" bestFit="1" customWidth="1"/>
    <col min="5" max="5" width="18.28515625" style="5" bestFit="1" customWidth="1"/>
    <col min="6" max="6" width="33.85546875" style="4" bestFit="1" customWidth="1"/>
    <col min="7" max="7" width="55.5703125" style="4" customWidth="1"/>
    <col min="8" max="8" width="64" style="4" bestFit="1" customWidth="1"/>
    <col min="9" max="9" width="29.140625" style="4" customWidth="1"/>
    <col min="10" max="10" width="52.140625" bestFit="1" customWidth="1"/>
    <col min="11" max="11" width="18.28515625" style="30" customWidth="1"/>
    <col min="12" max="12" width="255.7109375" bestFit="1" customWidth="1"/>
    <col min="13" max="22" width="12.7109375" customWidth="1"/>
    <col min="23" max="23" width="144.5703125" bestFit="1" customWidth="1"/>
    <col min="24" max="27" width="17.28515625" customWidth="1"/>
  </cols>
  <sheetData>
    <row r="1" spans="1:26" ht="15" customHeight="1">
      <c r="A1" s="4" t="s">
        <v>426</v>
      </c>
      <c r="B1" s="5" t="s">
        <v>427</v>
      </c>
      <c r="C1" s="5" t="s">
        <v>428</v>
      </c>
      <c r="D1" s="5" t="s">
        <v>429</v>
      </c>
      <c r="E1" s="5" t="s">
        <v>430</v>
      </c>
      <c r="F1" s="4" t="s">
        <v>431</v>
      </c>
      <c r="G1" s="4" t="s">
        <v>432</v>
      </c>
      <c r="H1" s="4" t="s">
        <v>433</v>
      </c>
      <c r="I1" s="4" t="s">
        <v>434</v>
      </c>
      <c r="J1" t="s">
        <v>435</v>
      </c>
      <c r="K1" s="10" t="s">
        <v>3</v>
      </c>
      <c r="L1" t="s">
        <v>436</v>
      </c>
      <c r="M1" t="s">
        <v>28</v>
      </c>
      <c r="N1" t="s">
        <v>29</v>
      </c>
      <c r="O1" t="s">
        <v>30</v>
      </c>
      <c r="P1" t="s">
        <v>31</v>
      </c>
      <c r="Q1" t="s">
        <v>32</v>
      </c>
      <c r="R1" t="s">
        <v>33</v>
      </c>
      <c r="S1" t="s">
        <v>34</v>
      </c>
      <c r="T1" t="s">
        <v>35</v>
      </c>
      <c r="U1" t="s">
        <v>36</v>
      </c>
      <c r="V1" t="s">
        <v>2</v>
      </c>
      <c r="W1" t="s">
        <v>37</v>
      </c>
      <c r="Y1" s="51" t="s">
        <v>682</v>
      </c>
      <c r="Z1" s="52"/>
    </row>
    <row r="2" spans="1:26" ht="15" customHeight="1">
      <c r="A2" s="4">
        <v>5800291077</v>
      </c>
      <c r="B2" s="5" t="str">
        <f>MID(Table[[#This Row],[Ativo]],1,2)</f>
        <v>58</v>
      </c>
      <c r="C2" s="5" t="s">
        <v>144</v>
      </c>
      <c r="D2" s="5" t="s">
        <v>57</v>
      </c>
      <c r="E2" s="5" t="s">
        <v>51</v>
      </c>
      <c r="F2" s="4" t="str">
        <f>IFERROR(_xlfn.XLOOKUP(Table[[#This Row],[Ativo]],Pendentes[COD_RELIGADOR],Pendentes[SS_ORIGINAL]),"CONCLUÍDA")</f>
        <v>CONCLUÍDA</v>
      </c>
      <c r="I2" s="4" t="s">
        <v>438</v>
      </c>
      <c r="J2" s="29"/>
      <c r="K2" s="31"/>
      <c r="L2" t="str">
        <f>IFERROR(_xlfn.XLOOKUP(Table[[#This Row],[Ativo]],Pendentes[COD_RELIGADOR],Pendentes[DESCRICAO]),"")</f>
        <v/>
      </c>
      <c r="M2" s="5">
        <v>40</v>
      </c>
      <c r="N2" s="5">
        <v>20</v>
      </c>
      <c r="O2" s="5">
        <v>20</v>
      </c>
      <c r="P2" s="5">
        <v>20</v>
      </c>
      <c r="Q2" s="5">
        <v>20</v>
      </c>
      <c r="R2" s="5" t="s">
        <v>45</v>
      </c>
      <c r="S2" s="5" t="s">
        <v>45</v>
      </c>
      <c r="T2" s="5" t="s">
        <v>45</v>
      </c>
      <c r="U2" s="5">
        <f>SUM(Table[[#This Row],[Premissa 1]:[Premissa 8]])</f>
        <v>120</v>
      </c>
      <c r="V2" s="5" t="s">
        <v>9</v>
      </c>
      <c r="W2" t="s">
        <v>440</v>
      </c>
      <c r="Y2" s="8" t="s">
        <v>684</v>
      </c>
      <c r="Z2" s="8" t="s">
        <v>685</v>
      </c>
    </row>
    <row r="3" spans="1:26" ht="15" customHeight="1">
      <c r="A3" s="12">
        <v>5854566043</v>
      </c>
      <c r="B3" s="5" t="str">
        <f>MID(Table[[#This Row],[Ativo]],1,2)</f>
        <v>58</v>
      </c>
      <c r="C3" s="5" t="s">
        <v>40</v>
      </c>
      <c r="D3" s="5" t="s">
        <v>41</v>
      </c>
      <c r="E3" s="5" t="s">
        <v>42</v>
      </c>
      <c r="F3" s="4" t="str">
        <f>IFERROR(_xlfn.XLOOKUP(Table[[#This Row],[Ativo]],Pendentes[COD_RELIGADOR],Pendentes[SS_ORIGINAL]),"CONCLUÍDA")</f>
        <v>ETO-RD-PO 00213/2026</v>
      </c>
      <c r="G3" s="5" t="s">
        <v>703</v>
      </c>
      <c r="H3" s="4" t="s">
        <v>961</v>
      </c>
      <c r="I3" s="4" t="s">
        <v>443</v>
      </c>
      <c r="J3" s="29" t="s">
        <v>444</v>
      </c>
      <c r="K3" s="31">
        <v>1</v>
      </c>
      <c r="L3" t="str">
        <f>IFERROR(_xlfn.XLOOKUP(Table[[#This Row],[Ativo]],Pendentes[COD_RELIGADOR],Pendentes[DESCRICAO]),"")</f>
        <v>22/07/2026 PARECER COEP: EQUIPAMENTO ENTREGUE AOS COCM´SPRAZO DE 7 DIAS CONTANDO O SLA.PARECER COEP: EQUIPAMENTO ENTREGUE AOS COCM´S FAVOR SUSBSTTUIR , E AGUARDO O PRAZO DE PREVISÃO DE SUBSTIUIÇÃOboa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v>
      </c>
      <c r="M3" s="5">
        <v>40</v>
      </c>
      <c r="N3" s="5">
        <v>20</v>
      </c>
      <c r="O3" s="5">
        <v>20</v>
      </c>
      <c r="P3" s="5">
        <v>10</v>
      </c>
      <c r="Q3" s="5">
        <v>20</v>
      </c>
      <c r="R3" s="5" t="s">
        <v>45</v>
      </c>
      <c r="S3" s="5" t="s">
        <v>45</v>
      </c>
      <c r="T3" s="5" t="s">
        <v>45</v>
      </c>
      <c r="U3" s="5">
        <f>SUM(Table[[#This Row],[Premissa 1]:[Premissa 8]])</f>
        <v>110</v>
      </c>
      <c r="V3" s="5" t="s">
        <v>9</v>
      </c>
      <c r="W3" t="s">
        <v>46</v>
      </c>
    </row>
    <row r="4" spans="1:26" ht="15" customHeight="1">
      <c r="A4" s="12">
        <v>5800859011</v>
      </c>
      <c r="B4" s="5" t="str">
        <f>MID(Table[[#This Row],[Ativo]],1,2)</f>
        <v>58</v>
      </c>
      <c r="C4" s="5" t="s">
        <v>49</v>
      </c>
      <c r="D4" s="5" t="s">
        <v>50</v>
      </c>
      <c r="E4" s="5" t="s">
        <v>51</v>
      </c>
      <c r="F4" s="4" t="str">
        <f>IFERROR(_xlfn.XLOOKUP(Table[[#This Row],[Ativo]],Pendentes[COD_RELIGADOR],Pendentes[SS_ORIGINAL]),"CONCLUÍDA")</f>
        <v>ETO-RD-GR 00735/2026</v>
      </c>
      <c r="G4" s="4" t="s">
        <v>455</v>
      </c>
      <c r="H4" s="4" t="s">
        <v>568</v>
      </c>
      <c r="I4" s="4" t="s">
        <v>443</v>
      </c>
      <c r="J4" s="29" t="s">
        <v>447</v>
      </c>
      <c r="K4" s="31">
        <v>1</v>
      </c>
      <c r="L4" t="str">
        <f>IFERROR(_xlfn.XLOOKUP(Table[[#This Row],[Ativo]],Pendentes[COD_RELIGADOR],Pendentes[DESCRICAO]),"")</f>
        <v>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ARAPOEMAPEÇA ENVIADA: CONTROLEPARECER DMSL: *FEEDBACK EQUIP. ESPECIAIS**Nº DO EQUIPAMENTO:* 5800859011*TIPO EQUIPAMENTO:* RT ITB *TIPO DE COMUNICAÇÃO:* Não *DATA DA MANUTENÇÃO:* 09/06/2026*SID:* 3195/2026*DESCRIÇÃO:* _ Foi identificado relé da fase C com defeito conforme orientação da supervisão e necessário realiza retrofit para instalação de controle rua.*FICOU EM OPERAÇÃO* Não*PENDÊNCIA:* Realizado Retrofit *DADOS DIVERGENTES DA PROGRAMAÇÃO:* Não*BATERIA SUBSTITUÍDA?:* Não*TIPO DE BATERIA:**EQUIPE:* Edeglan e Brunno.Observação: trocar por um controle RUA.------------------------------------------------------------------------------------------Enviar equipe do DMSL, para  fazer correção no RT 5800859011, o mesmo está com o displey da fase C apagado , dificutando  realizar  manobras no mesmo, emvirtude  disso o mesmo ficou BAY PASSADO EM CAMPO</v>
      </c>
      <c r="M4" s="5">
        <v>40</v>
      </c>
      <c r="N4" s="5">
        <v>20</v>
      </c>
      <c r="O4" s="5">
        <v>20</v>
      </c>
      <c r="P4" s="5">
        <v>10</v>
      </c>
      <c r="Q4" s="5">
        <v>20</v>
      </c>
      <c r="R4" s="5" t="s">
        <v>45</v>
      </c>
      <c r="S4" s="5" t="s">
        <v>45</v>
      </c>
      <c r="T4" s="5" t="s">
        <v>45</v>
      </c>
      <c r="U4" s="5">
        <f>SUM(Table[[#This Row],[Premissa 1]:[Premissa 8]])</f>
        <v>110</v>
      </c>
      <c r="V4" s="5" t="s">
        <v>9</v>
      </c>
      <c r="W4" t="s">
        <v>54</v>
      </c>
    </row>
    <row r="5" spans="1:26" ht="15" customHeight="1">
      <c r="A5" s="4">
        <v>5836764032</v>
      </c>
      <c r="B5" s="5" t="str">
        <f>MID(Table[[#This Row],[Ativo]],1,2)</f>
        <v>58</v>
      </c>
      <c r="C5" s="5" t="s">
        <v>448</v>
      </c>
      <c r="D5" s="5" t="s">
        <v>449</v>
      </c>
      <c r="E5" s="5" t="s">
        <v>76</v>
      </c>
      <c r="F5" s="4" t="str">
        <f>IFERROR(_xlfn.XLOOKUP(Table[[#This Row],[Ativo]],Pendentes[COD_RELIGADOR],Pendentes[SS_ORIGINAL]),"CONCLUÍDA")</f>
        <v>CONCLUÍDA</v>
      </c>
      <c r="I5" s="4" t="s">
        <v>438</v>
      </c>
      <c r="J5" s="29"/>
      <c r="K5" s="31"/>
      <c r="L5" t="str">
        <f>IFERROR(_xlfn.XLOOKUP(Table[[#This Row],[Ativo]],Pendentes[COD_RELIGADOR],Pendentes[DESCRICAO]),"")</f>
        <v/>
      </c>
      <c r="M5" s="5">
        <v>40</v>
      </c>
      <c r="N5" s="5">
        <v>20</v>
      </c>
      <c r="O5" s="5">
        <v>20</v>
      </c>
      <c r="P5" s="5">
        <v>10</v>
      </c>
      <c r="Q5" s="5">
        <v>20</v>
      </c>
      <c r="R5" s="5" t="s">
        <v>45</v>
      </c>
      <c r="S5" s="5" t="s">
        <v>45</v>
      </c>
      <c r="T5" s="5" t="s">
        <v>45</v>
      </c>
      <c r="U5" s="5">
        <f>SUM(Table[[#This Row],[Premissa 1]:[Premissa 8]])</f>
        <v>110</v>
      </c>
      <c r="V5" s="5" t="s">
        <v>9</v>
      </c>
      <c r="W5" t="s">
        <v>450</v>
      </c>
    </row>
    <row r="6" spans="1:26" ht="15" customHeight="1">
      <c r="A6" s="4">
        <v>7923673004</v>
      </c>
      <c r="B6" s="5" t="str">
        <f>MID(Table[[#This Row],[Ativo]],1,2)</f>
        <v>79</v>
      </c>
      <c r="C6" s="5" t="s">
        <v>57</v>
      </c>
      <c r="D6" s="5" t="s">
        <v>57</v>
      </c>
      <c r="E6" s="5" t="s">
        <v>51</v>
      </c>
      <c r="F6" s="4" t="str">
        <f>IFERROR(_xlfn.XLOOKUP(Table[[#This Row],[Ativo]],Pendentes[COD_RELIGADOR],Pendentes[SS_ORIGINAL]),"CONCLUÍDA")</f>
        <v>ETO-COEP 00124/2026</v>
      </c>
      <c r="G6" s="4" t="s">
        <v>451</v>
      </c>
      <c r="H6" s="4" t="s">
        <v>452</v>
      </c>
      <c r="I6" s="4" t="s">
        <v>694</v>
      </c>
      <c r="J6" s="29" t="s">
        <v>469</v>
      </c>
      <c r="K6" s="31">
        <v>1</v>
      </c>
      <c r="L6" t="str">
        <f>IFERROR(_xlfn.XLOOKUP(Table[[#This Row],[Ativo]],Pendentes[COD_RELIGADOR],Pendentes[DESCRICAO]),"")</f>
        <v>PARECER COEP: Verificar Disponibilidade de equipamento no Scada e enviar modelo e tensão para a compra.RELIGADOR COM RELÉ DANIFICADO, REALIZAR SUBSTITUIÇÃO</v>
      </c>
      <c r="M6" s="5">
        <v>15</v>
      </c>
      <c r="N6" s="5">
        <v>20</v>
      </c>
      <c r="O6" s="5">
        <v>15</v>
      </c>
      <c r="P6" s="5">
        <v>15</v>
      </c>
      <c r="Q6" s="5">
        <v>15</v>
      </c>
      <c r="R6" s="5">
        <v>10</v>
      </c>
      <c r="S6" s="5">
        <v>0</v>
      </c>
      <c r="T6" s="5">
        <v>15</v>
      </c>
      <c r="U6" s="5">
        <f>SUM(Table[[#This Row],[Premissa 1]:[Premissa 8]])</f>
        <v>105</v>
      </c>
      <c r="V6" s="5" t="s">
        <v>9</v>
      </c>
      <c r="W6" t="s">
        <v>60</v>
      </c>
    </row>
    <row r="7" spans="1:26" ht="15" customHeight="1">
      <c r="A7" s="4">
        <v>7931608059</v>
      </c>
      <c r="B7" s="5" t="str">
        <f>MID(Table[[#This Row],[Ativo]],1,2)</f>
        <v>79</v>
      </c>
      <c r="C7" s="5" t="s">
        <v>62</v>
      </c>
      <c r="D7" s="5" t="s">
        <v>62</v>
      </c>
      <c r="E7" s="5" t="s">
        <v>42</v>
      </c>
      <c r="F7" s="4" t="str">
        <f>IFERROR(_xlfn.XLOOKUP(Table[[#This Row],[Ativo]],Pendentes[COD_RELIGADOR],Pendentes[SS_ORIGINAL]),"CONCLUÍDA")</f>
        <v>ETO-COEP 00040/2026</v>
      </c>
      <c r="G7" s="4" t="s">
        <v>451</v>
      </c>
      <c r="I7" s="4" t="s">
        <v>694</v>
      </c>
      <c r="J7" s="29" t="s">
        <v>454</v>
      </c>
      <c r="K7" s="31">
        <v>1</v>
      </c>
      <c r="L7" t="str">
        <f>IFERROR(_xlfn.XLOOKUP(Table[[#This Row],[Ativo]],Pendentes[COD_RELIGADOR],Pendentes[DESCRICAO]),"")</f>
        <v>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v>
      </c>
      <c r="M7" s="5">
        <v>15</v>
      </c>
      <c r="N7" s="5">
        <v>20</v>
      </c>
      <c r="O7" s="5">
        <v>15</v>
      </c>
      <c r="P7" s="5">
        <v>15</v>
      </c>
      <c r="Q7" s="5">
        <v>15</v>
      </c>
      <c r="R7" s="5">
        <v>10</v>
      </c>
      <c r="S7" s="5">
        <v>0</v>
      </c>
      <c r="T7" s="5">
        <v>15</v>
      </c>
      <c r="U7" s="5">
        <f>SUM(Table[[#This Row],[Premissa 1]:[Premissa 8]])</f>
        <v>105</v>
      </c>
      <c r="V7" s="5" t="s">
        <v>9</v>
      </c>
      <c r="W7" t="s">
        <v>65</v>
      </c>
    </row>
    <row r="8" spans="1:26" ht="15" customHeight="1">
      <c r="A8" s="4">
        <v>7931610122</v>
      </c>
      <c r="B8" s="5" t="str">
        <f>MID(Table[[#This Row],[Ativo]],1,2)</f>
        <v>79</v>
      </c>
      <c r="C8" s="5" t="s">
        <v>68</v>
      </c>
      <c r="D8" s="5" t="s">
        <v>68</v>
      </c>
      <c r="E8" s="5" t="s">
        <v>42</v>
      </c>
      <c r="F8" s="4" t="str">
        <f>IFERROR(_xlfn.XLOOKUP(Table[[#This Row],[Ativo]],Pendentes[COD_RELIGADOR],Pendentes[SS_ORIGINAL]),"CONCLUÍDA")</f>
        <v>ETO-TELE 01025/2026</v>
      </c>
      <c r="G8" s="4" t="s">
        <v>482</v>
      </c>
      <c r="I8" s="4" t="s">
        <v>443</v>
      </c>
      <c r="J8" s="29" t="s">
        <v>724</v>
      </c>
      <c r="K8" s="31">
        <v>1</v>
      </c>
      <c r="L8" t="str">
        <f>IFERROR(_xlfn.XLOOKUP(Table[[#This Row],[Ativo]],Pendentes[COD_RELIGADOR],Pendentes[DESCRICAO]),"")</f>
        <v>PARECER DA PROTEÇÃO:FAVOR COMISSIONAR RELIGADOR. AJUSTES PERMANECEM OS MESMOS E DISPONÍVEIS NO APP DA PROTEÇÃO.Estagiário Rafael P Marques.******************30/06 PARECER COEP: EQUIPAMENTO ENTREGUE, SEGUE SS PARA O COCM´S , PARA REALIZAR O ATENDIMENTO,FAVOR ADICIONAR O PARECER PARA MANDAR PARA PROTEÇÃOBom dia,Segue SS para verificação RL sem comunicação com painel apagado equipe DEOP fez primeiro ataque sem sucesso RL 7931610122 RDU de Palmas.Feedback Equipamentos Especiais DMSL: *RLG 7931610122 RDU Palmas*Noja rc10 Data: 14/10/2025SID: 5412Dados de comunicação divergentes da programação: Não. Serviço Executado: Houve um curto no equipamento danificando a parte ativa, e antena! Será necessário fazer a substituição somente da parte ativa (tanque) e da antena.Equipamento ficou em operação?: Não Pendência: Sim, substituir a parte ativa.Bateria(s) substituída(s)?: NãoData Fabricação/Instalação da(s) bateria(s): 2024Equipe: Benvindo, Juliano e Sérgio.***** Parecer do COCM CENTRO*****Equipamento Substituido em campo pela Ordem de ServiÇO DLP-MPPA01 243/2026, ONDE OS RELATORIO ESTÃO ANEXADO.--------------------------------------------------------Parecer DMSL:Equipamento substituído porém não informado se antena também foi substituída. Levar antena para caso da mesmo não ter sido substituída.</v>
      </c>
      <c r="M8" s="5">
        <v>15</v>
      </c>
      <c r="N8" s="5">
        <v>20</v>
      </c>
      <c r="O8" s="5">
        <v>15</v>
      </c>
      <c r="P8" s="5">
        <v>15</v>
      </c>
      <c r="Q8" s="5">
        <v>15</v>
      </c>
      <c r="R8" s="5">
        <v>10</v>
      </c>
      <c r="S8" s="5">
        <v>0</v>
      </c>
      <c r="T8" s="5">
        <v>15</v>
      </c>
      <c r="U8" s="5">
        <f>SUM(Table[[#This Row],[Premissa 1]:[Premissa 8]])</f>
        <v>105</v>
      </c>
      <c r="V8" s="5" t="s">
        <v>9</v>
      </c>
      <c r="W8" t="s">
        <v>71</v>
      </c>
    </row>
    <row r="9" spans="1:26" ht="15" customHeight="1">
      <c r="A9" s="4">
        <v>7900648055</v>
      </c>
      <c r="B9" s="5" t="str">
        <f>MID(Table[[#This Row],[Ativo]],1,2)</f>
        <v>79</v>
      </c>
      <c r="C9" s="5" t="s">
        <v>458</v>
      </c>
      <c r="D9" s="5" t="s">
        <v>210</v>
      </c>
      <c r="E9" s="5" t="s">
        <v>42</v>
      </c>
      <c r="F9" s="4" t="str">
        <f>IFERROR(_xlfn.XLOOKUP(Table[[#This Row],[Ativo]],Pendentes[COD_RELIGADOR],Pendentes[SS_ORIGINAL]),"CONCLUÍDA")</f>
        <v>CONCLUÍDA</v>
      </c>
      <c r="I9" s="4" t="s">
        <v>438</v>
      </c>
      <c r="J9" s="29"/>
      <c r="K9" s="31"/>
      <c r="L9" t="str">
        <f>IFERROR(_xlfn.XLOOKUP(Table[[#This Row],[Ativo]],Pendentes[COD_RELIGADOR],Pendentes[DESCRICAO]),"")</f>
        <v/>
      </c>
      <c r="M9" s="5">
        <v>15</v>
      </c>
      <c r="N9" s="5">
        <v>20</v>
      </c>
      <c r="O9" s="5">
        <v>15</v>
      </c>
      <c r="P9" s="5">
        <v>15</v>
      </c>
      <c r="Q9" s="5">
        <v>15</v>
      </c>
      <c r="R9" s="5">
        <v>10</v>
      </c>
      <c r="S9" s="5">
        <v>0</v>
      </c>
      <c r="T9" s="5">
        <v>15</v>
      </c>
      <c r="U9" s="5">
        <f>SUM(Table[[#This Row],[Premissa 1]:[Premissa 8]])</f>
        <v>105</v>
      </c>
      <c r="V9" s="5" t="s">
        <v>9</v>
      </c>
      <c r="W9" t="s">
        <v>459</v>
      </c>
    </row>
    <row r="10" spans="1:26" ht="15" customHeight="1">
      <c r="A10" s="4">
        <v>7947203070</v>
      </c>
      <c r="B10" s="5" t="str">
        <f>MID(Table[[#This Row],[Ativo]],1,2)</f>
        <v>79</v>
      </c>
      <c r="C10" s="5" t="s">
        <v>81</v>
      </c>
      <c r="D10" s="5" t="s">
        <v>62</v>
      </c>
      <c r="E10" s="5" t="s">
        <v>42</v>
      </c>
      <c r="F10" s="4" t="str">
        <f>IFERROR(_xlfn.XLOOKUP(Table[[#This Row],[Ativo]],Pendentes[COD_RELIGADOR],Pendentes[SS_ORIGINAL]),"CONCLUÍDA")</f>
        <v>ETO-COEP 00131/2026</v>
      </c>
      <c r="G10" s="4" t="s">
        <v>451</v>
      </c>
      <c r="I10" s="4" t="s">
        <v>694</v>
      </c>
      <c r="J10" s="29" t="s">
        <v>460</v>
      </c>
      <c r="K10" s="31">
        <v>1</v>
      </c>
      <c r="L10" t="str">
        <f>IFERROR(_xlfn.XLOOKUP(Table[[#This Row],[Ativo]],Pendentes[COD_RELIGADOR],Pendentes[DESCRICAO]),"")</f>
        <v>13/07 PARECER COEP: SELECIONADO PARA COMPRA CONTROLE 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v>
      </c>
      <c r="M10" s="5">
        <v>10</v>
      </c>
      <c r="N10" s="5">
        <v>20</v>
      </c>
      <c r="O10" s="5">
        <v>15</v>
      </c>
      <c r="P10" s="5">
        <v>15</v>
      </c>
      <c r="Q10" s="5">
        <v>15</v>
      </c>
      <c r="R10" s="5">
        <v>10</v>
      </c>
      <c r="S10" s="5">
        <v>0</v>
      </c>
      <c r="T10" s="5">
        <v>15</v>
      </c>
      <c r="U10" s="5">
        <f>SUM(Table[[#This Row],[Premissa 1]:[Premissa 8]])</f>
        <v>100</v>
      </c>
      <c r="V10" s="5" t="s">
        <v>9</v>
      </c>
      <c r="W10" t="s">
        <v>84</v>
      </c>
    </row>
    <row r="11" spans="1:26" ht="15" customHeight="1">
      <c r="A11" s="4">
        <v>5856070091</v>
      </c>
      <c r="B11" s="5" t="str">
        <f>MID(Table[[#This Row],[Ativo]],1,2)</f>
        <v>58</v>
      </c>
      <c r="C11" s="5" t="s">
        <v>74</v>
      </c>
      <c r="D11" s="5" t="s">
        <v>75</v>
      </c>
      <c r="E11" s="5" t="s">
        <v>76</v>
      </c>
      <c r="F11" s="4" t="str">
        <f>IFERROR(_xlfn.XLOOKUP(Table[[#This Row],[Ativo]],Pendentes[COD_RELIGADOR],Pendentes[SS_ORIGINAL]),"CONCLUÍDA")</f>
        <v>ETO-RD-DP 00479/2026</v>
      </c>
      <c r="G11" s="4" t="s">
        <v>445</v>
      </c>
      <c r="H11" s="4" t="s">
        <v>705</v>
      </c>
      <c r="I11" s="4" t="s">
        <v>443</v>
      </c>
      <c r="J11" s="29" t="s">
        <v>462</v>
      </c>
      <c r="K11" s="31">
        <v>3</v>
      </c>
      <c r="L11" t="str">
        <f>IFERROR(_xlfn.XLOOKUP(Table[[#This Row],[Ativo]],Pendentes[COD_RELIGADOR],Pendentes[DESCRICAO]),"")</f>
        <v>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v>
      </c>
      <c r="M11" s="5">
        <v>40</v>
      </c>
      <c r="N11" s="5">
        <v>20</v>
      </c>
      <c r="O11" s="5">
        <v>20</v>
      </c>
      <c r="P11" s="5">
        <v>20</v>
      </c>
      <c r="Q11" s="5">
        <v>0</v>
      </c>
      <c r="R11" s="5" t="s">
        <v>45</v>
      </c>
      <c r="S11" s="5" t="s">
        <v>45</v>
      </c>
      <c r="T11" s="5" t="s">
        <v>45</v>
      </c>
      <c r="U11" s="5">
        <f>SUM(Table[[#This Row],[Premissa 1]:[Premissa 8]])</f>
        <v>100</v>
      </c>
      <c r="V11" s="5" t="s">
        <v>9</v>
      </c>
      <c r="W11" t="s">
        <v>79</v>
      </c>
    </row>
    <row r="12" spans="1:26" ht="15" customHeight="1">
      <c r="A12" s="12">
        <v>7903569004</v>
      </c>
      <c r="B12" s="5" t="str">
        <f>MID(Table[[#This Row],[Ativo]],1,2)</f>
        <v>79</v>
      </c>
      <c r="C12" s="5" t="s">
        <v>57</v>
      </c>
      <c r="D12" s="5" t="s">
        <v>57</v>
      </c>
      <c r="E12" s="5" t="s">
        <v>51</v>
      </c>
      <c r="F12" s="4" t="str">
        <f>IFERROR(_xlfn.XLOOKUP(Table[[#This Row],[Ativo]],Pendentes[COD_RELIGADOR],Pendentes[SS_ORIGINAL]),"CONCLUÍDA")</f>
        <v>CONCLUÍDA</v>
      </c>
      <c r="J12" s="29"/>
      <c r="K12" s="31"/>
      <c r="L12" t="str">
        <f>IFERROR(_xlfn.XLOOKUP(Table[[#This Row],[Ativo]],Pendentes[COD_RELIGADOR],Pendentes[DESCRICAO]),"")</f>
        <v/>
      </c>
      <c r="M12" s="5">
        <v>15</v>
      </c>
      <c r="N12" s="5">
        <v>20</v>
      </c>
      <c r="O12" s="5">
        <v>5</v>
      </c>
      <c r="P12" s="5">
        <v>15</v>
      </c>
      <c r="Q12" s="5">
        <v>15</v>
      </c>
      <c r="R12" s="5">
        <v>10</v>
      </c>
      <c r="S12" s="5">
        <v>0</v>
      </c>
      <c r="T12" s="5">
        <v>15</v>
      </c>
      <c r="U12" s="5">
        <f>SUM(Table[[#This Row],[Premissa 1]:[Premissa 8]])</f>
        <v>95</v>
      </c>
      <c r="V12" s="5" t="s">
        <v>9</v>
      </c>
      <c r="W12" t="s">
        <v>463</v>
      </c>
    </row>
    <row r="13" spans="1:26" ht="15" customHeight="1">
      <c r="A13" s="4">
        <v>7925744087</v>
      </c>
      <c r="B13" s="5" t="str">
        <f>MID(Table[[#This Row],[Ativo]],1,2)</f>
        <v>79</v>
      </c>
      <c r="C13" s="5" t="s">
        <v>91</v>
      </c>
      <c r="D13" s="5" t="s">
        <v>50</v>
      </c>
      <c r="E13" s="5" t="s">
        <v>51</v>
      </c>
      <c r="F13" s="4" t="str">
        <f>IFERROR(_xlfn.XLOOKUP(Table[[#This Row],[Ativo]],Pendentes[COD_RELIGADOR],Pendentes[SS_ORIGINAL]),"CONCLUÍDA")</f>
        <v>ETO-COEP 00059/2026</v>
      </c>
      <c r="G13" s="4" t="s">
        <v>451</v>
      </c>
      <c r="H13" s="4" t="s">
        <v>464</v>
      </c>
      <c r="I13" s="4" t="s">
        <v>694</v>
      </c>
      <c r="J13" s="29" t="s">
        <v>465</v>
      </c>
      <c r="K13" s="31">
        <v>1</v>
      </c>
      <c r="L13" t="str">
        <f>IFERROR(_xlfn.XLOOKUP(Table[[#This Row],[Ativo]],Pendentes[COD_RELIGADOR],Pendentes[DESCRICAO]),"")</f>
        <v>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v>
      </c>
      <c r="M13" s="5">
        <v>15</v>
      </c>
      <c r="N13" s="5">
        <v>20</v>
      </c>
      <c r="O13" s="5">
        <v>5</v>
      </c>
      <c r="P13" s="5">
        <v>15</v>
      </c>
      <c r="Q13" s="5">
        <v>15</v>
      </c>
      <c r="R13" s="5">
        <v>10</v>
      </c>
      <c r="S13" s="5">
        <v>0</v>
      </c>
      <c r="T13" s="5">
        <v>15</v>
      </c>
      <c r="U13" s="5">
        <f>SUM(Table[[#This Row],[Premissa 1]:[Premissa 8]])</f>
        <v>95</v>
      </c>
      <c r="V13" s="5" t="s">
        <v>9</v>
      </c>
      <c r="W13" t="s">
        <v>94</v>
      </c>
    </row>
    <row r="14" spans="1:26" ht="15" customHeight="1">
      <c r="A14" s="4">
        <v>7900117013</v>
      </c>
      <c r="B14" s="5" t="str">
        <f>MID(Table[[#This Row],[Ativo]],1,2)</f>
        <v>79</v>
      </c>
      <c r="C14" s="5" t="s">
        <v>97</v>
      </c>
      <c r="D14" s="5" t="s">
        <v>97</v>
      </c>
      <c r="E14" s="5" t="s">
        <v>42</v>
      </c>
      <c r="F14" s="4" t="str">
        <f>IFERROR(_xlfn.XLOOKUP(Table[[#This Row],[Ativo]],Pendentes[COD_RELIGADOR],Pendentes[SS_ORIGINAL]),"CONCLUÍDA")</f>
        <v>ETO-PROT 00154/2026</v>
      </c>
      <c r="G14" s="4" t="s">
        <v>471</v>
      </c>
      <c r="I14" s="4" t="s">
        <v>443</v>
      </c>
      <c r="J14" s="29" t="s">
        <v>460</v>
      </c>
      <c r="K14" s="31">
        <v>1</v>
      </c>
      <c r="L14" t="str">
        <f>IFERROR(_xlfn.XLOOKUP(Table[[#This Row],[Ativo]],Pendentes[COD_RELIGADOR],Pendentes[DESCRICAO]),"")</f>
        <v>15/07 PARECER COCM: EQUIPAMENTO FOI SUBSTITUÍDO OBRA 021260042210/07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v>
      </c>
      <c r="M14" s="5">
        <v>15</v>
      </c>
      <c r="N14" s="5">
        <v>20</v>
      </c>
      <c r="O14" s="5">
        <v>15</v>
      </c>
      <c r="P14" s="5">
        <v>15</v>
      </c>
      <c r="Q14" s="5">
        <v>15</v>
      </c>
      <c r="R14" s="5">
        <v>0</v>
      </c>
      <c r="S14" s="5">
        <v>0</v>
      </c>
      <c r="T14" s="5">
        <v>15</v>
      </c>
      <c r="U14" s="5">
        <f>SUM(Table[[#This Row],[Premissa 1]:[Premissa 8]])</f>
        <v>95</v>
      </c>
      <c r="V14" s="5" t="s">
        <v>9</v>
      </c>
      <c r="W14" t="s">
        <v>100</v>
      </c>
    </row>
    <row r="15" spans="1:26" ht="15" customHeight="1">
      <c r="A15" s="4">
        <v>7929376022</v>
      </c>
      <c r="B15" s="5" t="str">
        <f>MID(Table[[#This Row],[Ativo]],1,2)</f>
        <v>79</v>
      </c>
      <c r="C15" s="5" t="s">
        <v>102</v>
      </c>
      <c r="D15" s="5" t="s">
        <v>57</v>
      </c>
      <c r="E15" s="5" t="s">
        <v>51</v>
      </c>
      <c r="F15" s="4" t="str">
        <f>IFERROR(_xlfn.XLOOKUP(Table[[#This Row],[Ativo]],Pendentes[COD_RELIGADOR],Pendentes[SS_ORIGINAL]),"CONCLUÍDA")</f>
        <v>ETO-COEP 00120/2026</v>
      </c>
      <c r="G15" s="4" t="s">
        <v>721</v>
      </c>
      <c r="H15" s="4" t="s">
        <v>962</v>
      </c>
      <c r="I15" s="4" t="s">
        <v>443</v>
      </c>
      <c r="J15" s="29" t="s">
        <v>469</v>
      </c>
      <c r="K15" s="31">
        <v>1</v>
      </c>
      <c r="L15" t="str">
        <f>IFERROR(_xlfn.XLOOKUP(Table[[#This Row],[Ativo]],Pendentes[COD_RELIGADOR],Pendentes[DESCRICAO]),"")</f>
        <v>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v>
      </c>
      <c r="M15" s="5">
        <v>15</v>
      </c>
      <c r="N15" s="5">
        <v>20</v>
      </c>
      <c r="O15" s="5">
        <v>5</v>
      </c>
      <c r="P15" s="5">
        <v>15</v>
      </c>
      <c r="Q15" s="5">
        <v>15</v>
      </c>
      <c r="R15" s="5">
        <v>10</v>
      </c>
      <c r="S15" s="5">
        <v>0</v>
      </c>
      <c r="T15" s="5">
        <v>15</v>
      </c>
      <c r="U15" s="5">
        <f>SUM(Table[[#This Row],[Premissa 1]:[Premissa 8]])</f>
        <v>95</v>
      </c>
      <c r="V15" s="5" t="s">
        <v>9</v>
      </c>
      <c r="W15" t="s">
        <v>105</v>
      </c>
    </row>
    <row r="16" spans="1:26" ht="15" customHeight="1">
      <c r="A16" s="40">
        <v>7908705049</v>
      </c>
      <c r="B16" s="5" t="str">
        <f>MID(Table[[#This Row],[Ativo]],1,2)</f>
        <v>79</v>
      </c>
      <c r="C16" s="5" t="s">
        <v>86</v>
      </c>
      <c r="D16" s="5" t="s">
        <v>75</v>
      </c>
      <c r="E16" s="5" t="s">
        <v>76</v>
      </c>
      <c r="F16" s="4" t="str">
        <f>IFERROR(_xlfn.XLOOKUP(Table[[#This Row],[Ativo]],Pendentes[COD_RELIGADOR],Pendentes[SS_ORIGINAL]),"CONCLUÍDA")</f>
        <v>ETO-RD-DP 00409/2026</v>
      </c>
      <c r="G16" s="4" t="s">
        <v>445</v>
      </c>
      <c r="H16" s="4" t="s">
        <v>714</v>
      </c>
      <c r="I16" s="4" t="s">
        <v>443</v>
      </c>
      <c r="J16" s="29" t="s">
        <v>469</v>
      </c>
      <c r="K16" s="31">
        <v>1</v>
      </c>
      <c r="L16" t="str">
        <f>IFERROR(_xlfn.XLOOKUP(Table[[#This Row],[Ativo]],Pendentes[COD_RELIGADOR],Pendentes[DESCRICAO]),"")</f>
        <v>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v>
      </c>
      <c r="M16" s="5">
        <v>15</v>
      </c>
      <c r="N16" s="5">
        <v>20</v>
      </c>
      <c r="O16" s="5">
        <v>5</v>
      </c>
      <c r="P16" s="5">
        <v>15</v>
      </c>
      <c r="Q16" s="5">
        <v>15</v>
      </c>
      <c r="R16" s="5">
        <v>0</v>
      </c>
      <c r="S16" s="5">
        <v>10</v>
      </c>
      <c r="T16" s="5">
        <v>15</v>
      </c>
      <c r="U16" s="5">
        <f>SUM(Table[[#This Row],[Premissa 1]:[Premissa 8]])</f>
        <v>95</v>
      </c>
      <c r="V16" s="5" t="s">
        <v>9</v>
      </c>
      <c r="W16" t="s">
        <v>89</v>
      </c>
    </row>
    <row r="17" spans="1:23" ht="15" customHeight="1">
      <c r="A17" s="4">
        <v>7933726256</v>
      </c>
      <c r="B17" s="5" t="str">
        <f>MID(Table[[#This Row],[Ativo]],1,2)</f>
        <v>79</v>
      </c>
      <c r="C17" s="5" t="s">
        <v>107</v>
      </c>
      <c r="D17" s="5" t="s">
        <v>108</v>
      </c>
      <c r="E17" s="5" t="s">
        <v>42</v>
      </c>
      <c r="F17" s="4" t="str">
        <f>IFERROR(_xlfn.XLOOKUP(Table[[#This Row],[Ativo]],Pendentes[COD_RELIGADOR],Pendentes[SS_ORIGINAL]),"CONCLUÍDA")</f>
        <v>ETO-PROT 00145/2026</v>
      </c>
      <c r="G17" s="4" t="s">
        <v>471</v>
      </c>
      <c r="H17" s="4" t="s">
        <v>725</v>
      </c>
      <c r="I17" s="4" t="s">
        <v>443</v>
      </c>
      <c r="J17" s="29" t="s">
        <v>473</v>
      </c>
      <c r="K17" s="31">
        <v>1</v>
      </c>
      <c r="L17" t="str">
        <f>IFERROR(_xlfn.XLOOKUP(Table[[#This Row],[Ativo]],Pendentes[COD_RELIGADOR],Pendentes[DESCRICAO]),"")</f>
        <v>07/07 Equipamento foi substituido na OS: ETO-RD-PO 1859/2026 OBRA 031260035101/07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v>
      </c>
      <c r="M17" s="5">
        <v>15</v>
      </c>
      <c r="N17" s="5">
        <v>10</v>
      </c>
      <c r="O17" s="5">
        <v>15</v>
      </c>
      <c r="P17" s="5">
        <v>15</v>
      </c>
      <c r="Q17" s="5">
        <v>15</v>
      </c>
      <c r="R17" s="5">
        <v>10</v>
      </c>
      <c r="S17" s="5">
        <v>0</v>
      </c>
      <c r="T17" s="5">
        <v>15</v>
      </c>
      <c r="U17" s="5">
        <f>SUM(Table[[#This Row],[Premissa 1]:[Premissa 8]])</f>
        <v>95</v>
      </c>
      <c r="V17" s="5" t="s">
        <v>9</v>
      </c>
      <c r="W17" t="s">
        <v>111</v>
      </c>
    </row>
    <row r="18" spans="1:23" ht="15" customHeight="1">
      <c r="A18" s="4">
        <v>7933766059</v>
      </c>
      <c r="B18" s="5" t="str">
        <f>MID(Table[[#This Row],[Ativo]],1,2)</f>
        <v>79</v>
      </c>
      <c r="C18" s="5" t="s">
        <v>62</v>
      </c>
      <c r="D18" s="5" t="s">
        <v>62</v>
      </c>
      <c r="E18" s="5" t="s">
        <v>42</v>
      </c>
      <c r="F18" s="4" t="str">
        <f>IFERROR(_xlfn.XLOOKUP(Table[[#This Row],[Ativo]],Pendentes[COD_RELIGADOR],Pendentes[SS_ORIGINAL]),"CONCLUÍDA")</f>
        <v>ETO-TELE 01024/2026</v>
      </c>
      <c r="G18" s="4" t="s">
        <v>482</v>
      </c>
      <c r="H18" s="9"/>
      <c r="I18" s="4" t="s">
        <v>443</v>
      </c>
      <c r="J18" s="29" t="s">
        <v>473</v>
      </c>
      <c r="K18" s="31">
        <v>1</v>
      </c>
      <c r="L18" t="str">
        <f>IFERROR(_xlfn.XLOOKUP(Table[[#This Row],[Ativo]],Pendentes[COD_RELIGADOR],Pendentes[DESCRICAO]),"")</f>
        <v>PARECER DA PROTEÇÃO:RECOMISSIONAR RELIGADOR, AJUSTES DE PROTEÇÃO PERMANECEM OS MESMOS.Estagiário Rafael P Marques****************************PARECER COEP: EQUIPAMENTO ENTREGUE, SEGUE SS PARA O COCM´S , PARA REALIZAR O ATENDIMENTO,FAVOR ADICIONAR O PARECER PARA MANDAR PARA PROTEÇÃOSegue SS para verficar religador de poste 7933766059.Religador esta com defeito na parte ativa no tanque Porte gentilezaenviar equipe verificar.Endereço: TaquariPARECER DMSL: RLG 7933766059 RELÉ NOJA RC 10Mestre 2 Rep. taquaruçu GESID: 5457/2025Data: 15/10/2025Serviço Executado: Houve um curto na parte ativa do equipamento danificando a mesma, será necessário fazer a substituição somente do tanque, parte ativa.*Equipamento ficou em operação?:*Nao Pendência: Sim, substituir parte ativa.Equipe: Benvindo, Juliano e Sérgio.****** Parecer do COCM Centro***Equipámento Substituido em Campo pela Ordem de ServIÇO DLP-MPPA01 244/2026, ONDE OS RELATORIO ESTÃO ANEXADO..</v>
      </c>
      <c r="M18" s="5">
        <v>15</v>
      </c>
      <c r="N18" s="5">
        <v>20</v>
      </c>
      <c r="O18" s="5">
        <v>5</v>
      </c>
      <c r="P18" s="5">
        <v>15</v>
      </c>
      <c r="Q18" s="5">
        <v>15</v>
      </c>
      <c r="R18" s="5">
        <v>0</v>
      </c>
      <c r="S18" s="5">
        <v>10</v>
      </c>
      <c r="T18" s="5">
        <v>15</v>
      </c>
      <c r="U18" s="5">
        <f>SUM(Table[[#This Row],[Premissa 1]:[Premissa 8]])</f>
        <v>95</v>
      </c>
      <c r="V18" s="5" t="s">
        <v>9</v>
      </c>
      <c r="W18" t="s">
        <v>115</v>
      </c>
    </row>
    <row r="19" spans="1:23" ht="15" customHeight="1">
      <c r="A19" s="4">
        <v>7900594026</v>
      </c>
      <c r="B19" s="5" t="str">
        <f>MID(Table[[#This Row],[Ativo]],1,2)</f>
        <v>79</v>
      </c>
      <c r="C19" s="5" t="s">
        <v>108</v>
      </c>
      <c r="D19" s="5" t="s">
        <v>108</v>
      </c>
      <c r="E19" s="5" t="s">
        <v>42</v>
      </c>
      <c r="F19" s="4" t="str">
        <f>IFERROR(_xlfn.XLOOKUP(Table[[#This Row],[Ativo]],Pendentes[COD_RELIGADOR],Pendentes[SS_ORIGINAL]),"CONCLUÍDA")</f>
        <v>ETO-SE-PA 00107/2026</v>
      </c>
      <c r="G19" s="4" t="s">
        <v>482</v>
      </c>
      <c r="I19" s="4" t="s">
        <v>443</v>
      </c>
      <c r="J19" s="29" t="s">
        <v>469</v>
      </c>
      <c r="K19" s="31">
        <v>1</v>
      </c>
      <c r="L19" t="str">
        <f>IFERROR(_xlfn.XLOOKUP(Table[[#This Row],[Ativo]],Pendentes[COD_RELIGADOR],Pendentes[DESCRICAO]),"")</f>
        <v>PARECER DA PROTEÇÃO:16/07/2026 AJUSTES DISPONIBILIZADOS NO APP DA PROTEÇÃO15/07/2026 EQUIPAMENTO SUBSTITUIDO NA OS ETO-RD-PO 1860 OBRA 031260035414/07/2026 PARECER COCM/ COEP: DE ACORDO COM O EDSON CURCINO FOI FEITA S SUBSTITUIÇÃO DO EQUIPAMENTO , SEGUE PARA PROTEÇÃO ELABORAR AJUSTE10/07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v>
      </c>
      <c r="M19" s="5">
        <v>15</v>
      </c>
      <c r="N19" s="5">
        <v>20</v>
      </c>
      <c r="O19" s="5">
        <v>15</v>
      </c>
      <c r="P19" s="5">
        <v>15</v>
      </c>
      <c r="Q19" s="5">
        <v>15</v>
      </c>
      <c r="R19" s="5">
        <v>0</v>
      </c>
      <c r="S19" s="5">
        <v>0</v>
      </c>
      <c r="T19" s="5">
        <v>15</v>
      </c>
      <c r="U19" s="5">
        <f>SUM(Table[[#This Row],[Premissa 1]:[Premissa 8]])</f>
        <v>95</v>
      </c>
      <c r="V19" s="5" t="s">
        <v>9</v>
      </c>
      <c r="W19" t="s">
        <v>119</v>
      </c>
    </row>
    <row r="20" spans="1:23" ht="15" customHeight="1">
      <c r="A20" s="4">
        <v>7921040031</v>
      </c>
      <c r="B20" s="5" t="str">
        <f>MID(Table[[#This Row],[Ativo]],1,2)</f>
        <v>79</v>
      </c>
      <c r="C20" s="5" t="s">
        <v>476</v>
      </c>
      <c r="D20" s="5" t="s">
        <v>186</v>
      </c>
      <c r="E20" s="5" t="s">
        <v>42</v>
      </c>
      <c r="F20" s="4" t="str">
        <f>IFERROR(_xlfn.XLOOKUP(Table[[#This Row],[Ativo]],Pendentes[COD_RELIGADOR],Pendentes[SS_ORIGINAL]),"CONCLUÍDA")</f>
        <v>CONCLUÍDA</v>
      </c>
      <c r="I20" s="4" t="s">
        <v>438</v>
      </c>
      <c r="J20" s="29"/>
      <c r="K20" s="31"/>
      <c r="L20" t="str">
        <f>IFERROR(_xlfn.XLOOKUP(Table[[#This Row],[Ativo]],Pendentes[COD_RELIGADOR],Pendentes[DESCRICAO]),"")</f>
        <v/>
      </c>
      <c r="M20" s="5">
        <v>15</v>
      </c>
      <c r="N20" s="5">
        <v>20</v>
      </c>
      <c r="O20" s="5">
        <v>5</v>
      </c>
      <c r="P20" s="5">
        <v>15</v>
      </c>
      <c r="Q20" s="5">
        <v>15</v>
      </c>
      <c r="R20" s="5">
        <v>10</v>
      </c>
      <c r="S20" s="5">
        <v>0</v>
      </c>
      <c r="T20" s="5">
        <v>15</v>
      </c>
      <c r="U20" s="5">
        <f>SUM(Table[[#This Row],[Premissa 1]:[Premissa 8]])</f>
        <v>95</v>
      </c>
      <c r="V20" s="5" t="s">
        <v>9</v>
      </c>
      <c r="W20" t="s">
        <v>477</v>
      </c>
    </row>
    <row r="21" spans="1:23" ht="15" customHeight="1">
      <c r="A21" s="4">
        <v>7957620015</v>
      </c>
      <c r="B21" s="5" t="str">
        <f>MID(Table[[#This Row],[Ativo]],1,2)</f>
        <v>79</v>
      </c>
      <c r="C21" s="5" t="s">
        <v>283</v>
      </c>
      <c r="D21" s="5" t="s">
        <v>50</v>
      </c>
      <c r="E21" s="5" t="s">
        <v>51</v>
      </c>
      <c r="F21" s="4" t="str">
        <f>IFERROR(_xlfn.XLOOKUP(Table[[#This Row],[Ativo]],Pendentes[COD_RELIGADOR],Pendentes[SS_ORIGINAL]),"CONCLUÍDA")</f>
        <v>CONCLUÍDA</v>
      </c>
      <c r="I21" s="4" t="s">
        <v>438</v>
      </c>
      <c r="J21" s="29"/>
      <c r="K21" s="31"/>
      <c r="L21" t="str">
        <f>IFERROR(_xlfn.XLOOKUP(Table[[#This Row],[Ativo]],Pendentes[COD_RELIGADOR],Pendentes[DESCRICAO]),"")</f>
        <v/>
      </c>
      <c r="M21" s="5">
        <v>15</v>
      </c>
      <c r="N21" s="5">
        <v>20</v>
      </c>
      <c r="O21" s="5">
        <v>15</v>
      </c>
      <c r="P21" s="5">
        <v>15</v>
      </c>
      <c r="Q21" s="5">
        <v>15</v>
      </c>
      <c r="R21" s="5">
        <v>0</v>
      </c>
      <c r="S21" s="5">
        <v>0</v>
      </c>
      <c r="T21" s="5">
        <v>15</v>
      </c>
      <c r="U21" s="5">
        <f>SUM(Table[[#This Row],[Premissa 1]:[Premissa 8]])</f>
        <v>95</v>
      </c>
      <c r="V21" s="5" t="s">
        <v>9</v>
      </c>
      <c r="W21" t="s">
        <v>478</v>
      </c>
    </row>
    <row r="22" spans="1:23" ht="15" customHeight="1">
      <c r="A22" s="4">
        <v>7927413001</v>
      </c>
      <c r="B22" s="5" t="str">
        <f>MID(Table[[#This Row],[Ativo]],1,2)</f>
        <v>79</v>
      </c>
      <c r="C22" s="5" t="s">
        <v>41</v>
      </c>
      <c r="D22" s="5" t="s">
        <v>41</v>
      </c>
      <c r="E22" s="5" t="s">
        <v>42</v>
      </c>
      <c r="F22" s="4" t="str">
        <f>IFERROR(_xlfn.XLOOKUP(Table[[#This Row],[Ativo]],Pendentes[COD_RELIGADOR],Pendentes[SS_ORIGINAL]),"CONCLUÍDA")</f>
        <v>ETO-COEP 00141/2026</v>
      </c>
      <c r="G22" s="4" t="s">
        <v>451</v>
      </c>
      <c r="I22" s="4" t="s">
        <v>694</v>
      </c>
      <c r="J22" s="29" t="s">
        <v>469</v>
      </c>
      <c r="K22" s="31">
        <v>1</v>
      </c>
      <c r="L22" t="str">
        <f>IFERROR(_xlfn.XLOOKUP(Table[[#This Row],[Ativo]],Pendentes[COD_RELIGADOR],Pendentes[DESCRICAO]),"")</f>
        <v>22/07/2026 EQUIPAMENTO SLEECIONADO PARA COMPRAPARECER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v>
      </c>
      <c r="M22" s="5">
        <v>15</v>
      </c>
      <c r="N22" s="5">
        <v>5</v>
      </c>
      <c r="O22" s="5">
        <v>15</v>
      </c>
      <c r="P22" s="5">
        <v>15</v>
      </c>
      <c r="Q22" s="5">
        <v>15</v>
      </c>
      <c r="R22" s="5">
        <v>10</v>
      </c>
      <c r="S22" s="5">
        <v>0</v>
      </c>
      <c r="T22" s="5">
        <v>15</v>
      </c>
      <c r="U22" s="5">
        <f>SUM(Table[[#This Row],[Premissa 1]:[Premissa 8]])</f>
        <v>90</v>
      </c>
      <c r="V22" s="5" t="s">
        <v>9</v>
      </c>
      <c r="W22" t="s">
        <v>123</v>
      </c>
    </row>
    <row r="23" spans="1:23" ht="15" customHeight="1">
      <c r="A23" s="4">
        <v>7908686014</v>
      </c>
      <c r="B23" s="5" t="str">
        <f>MID(Table[[#This Row],[Ativo]],1,2)</f>
        <v>79</v>
      </c>
      <c r="C23" s="5" t="s">
        <v>126</v>
      </c>
      <c r="D23" s="5" t="s">
        <v>97</v>
      </c>
      <c r="E23" s="5" t="s">
        <v>42</v>
      </c>
      <c r="F23" s="4" t="str">
        <f>IFERROR(_xlfn.XLOOKUP(Table[[#This Row],[Ativo]],Pendentes[COD_RELIGADOR],Pendentes[SS_ORIGINAL]),"CONCLUÍDA")</f>
        <v>ETO-RD-PS 00302/2026</v>
      </c>
      <c r="G23" s="5" t="s">
        <v>455</v>
      </c>
      <c r="H23" s="4" t="s">
        <v>712</v>
      </c>
      <c r="I23" s="4" t="s">
        <v>443</v>
      </c>
      <c r="J23" s="29" t="s">
        <v>480</v>
      </c>
      <c r="K23" s="31">
        <v>1</v>
      </c>
      <c r="L23" t="str">
        <f>IFERROR(_xlfn.XLOOKUP(Table[[#This Row],[Ativo]],Pendentes[COD_RELIGADOR],Pendentes[DESCRICAO]),"")</f>
        <v>10/07 PARECER COEP: EQUIPAMENTO ENTREGUE AOS COCM´S FAVOR INFORMAR PRAZO DE SUBSTUIÇÃO PARA O DMSL E REPASSAR DEPOIS PARA PROTEÇÃO REALIZAR OS AJUSTES E DESCREVER NA SS O SERVIÇO REALIZADO06/07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v>
      </c>
      <c r="M23" s="5">
        <v>15</v>
      </c>
      <c r="N23" s="5">
        <v>20</v>
      </c>
      <c r="O23" s="5">
        <v>0</v>
      </c>
      <c r="P23" s="5">
        <v>15</v>
      </c>
      <c r="Q23" s="5">
        <v>15</v>
      </c>
      <c r="R23" s="5">
        <v>10</v>
      </c>
      <c r="S23" s="5">
        <v>0</v>
      </c>
      <c r="T23" s="5">
        <v>15</v>
      </c>
      <c r="U23" s="5">
        <f>SUM(Table[[#This Row],[Premissa 1]:[Premissa 8]])</f>
        <v>90</v>
      </c>
      <c r="V23" s="5" t="s">
        <v>9</v>
      </c>
      <c r="W23" t="s">
        <v>129</v>
      </c>
    </row>
    <row r="24" spans="1:23" ht="15" customHeight="1">
      <c r="A24" s="4">
        <v>5800440256</v>
      </c>
      <c r="B24" s="5" t="str">
        <f>MID(Table[[#This Row],[Ativo]],1,2)</f>
        <v>58</v>
      </c>
      <c r="C24" s="5" t="s">
        <v>107</v>
      </c>
      <c r="D24" s="5" t="s">
        <v>108</v>
      </c>
      <c r="E24" s="5" t="s">
        <v>42</v>
      </c>
      <c r="F24" s="4" t="str">
        <f>IFERROR(_xlfn.XLOOKUP(Table[[#This Row],[Ativo]],Pendentes[COD_RELIGADOR],Pendentes[SS_ORIGINAL]),"CONCLUÍDA")</f>
        <v>CONCLUÍDA</v>
      </c>
      <c r="G24" s="11"/>
      <c r="I24" s="4" t="s">
        <v>438</v>
      </c>
      <c r="J24" s="29"/>
      <c r="K24" s="31"/>
      <c r="L24" t="str">
        <f>IFERROR(_xlfn.XLOOKUP(Table[[#This Row],[Ativo]],Pendentes[COD_RELIGADOR],Pendentes[DESCRICAO]),"")</f>
        <v/>
      </c>
      <c r="M24" s="5">
        <v>20</v>
      </c>
      <c r="N24" s="5">
        <v>20</v>
      </c>
      <c r="O24" s="5">
        <v>20</v>
      </c>
      <c r="P24" s="5">
        <v>10</v>
      </c>
      <c r="Q24" s="5">
        <v>20</v>
      </c>
      <c r="R24" s="5" t="s">
        <v>45</v>
      </c>
      <c r="S24" s="5" t="s">
        <v>45</v>
      </c>
      <c r="T24" s="5" t="s">
        <v>45</v>
      </c>
      <c r="U24" s="5">
        <f>SUM(Table[[#This Row],[Premissa 1]:[Premissa 8]])</f>
        <v>90</v>
      </c>
      <c r="V24" s="5" t="s">
        <v>9</v>
      </c>
      <c r="W24" t="s">
        <v>481</v>
      </c>
    </row>
    <row r="25" spans="1:23" ht="15" customHeight="1">
      <c r="A25" s="4">
        <v>7943790134</v>
      </c>
      <c r="B25" s="5" t="str">
        <f>MID(Table[[#This Row],[Ativo]],1,2)</f>
        <v>79</v>
      </c>
      <c r="C25" s="5" t="s">
        <v>131</v>
      </c>
      <c r="D25" s="5" t="s">
        <v>132</v>
      </c>
      <c r="E25" s="5" t="s">
        <v>51</v>
      </c>
      <c r="F25" s="4" t="str">
        <f>IFERROR(_xlfn.XLOOKUP(Table[[#This Row],[Ativo]],Pendentes[COD_RELIGADOR],Pendentes[SS_ORIGINAL]),"CONCLUÍDA")</f>
        <v>ETO-TELE 00896/2026</v>
      </c>
      <c r="G25" s="4" t="s">
        <v>482</v>
      </c>
      <c r="I25" s="4" t="s">
        <v>443</v>
      </c>
      <c r="J25" s="29" t="s">
        <v>480</v>
      </c>
      <c r="K25" s="31">
        <v>1</v>
      </c>
      <c r="L25" t="str">
        <f>IFERROR(_xlfn.XLOOKUP(Table[[#This Row],[Ativo]],Pendentes[COD_RELIGADOR],Pendentes[DESCRICAO]),"")</f>
        <v>PARECER DCMD:Serviço realizado , substituição da parte ativa  do RELIGADOR 7943790134 - Favor realizar comissionamento</v>
      </c>
      <c r="M25" s="5">
        <v>15</v>
      </c>
      <c r="N25" s="5">
        <v>10</v>
      </c>
      <c r="O25" s="5">
        <v>5</v>
      </c>
      <c r="P25" s="5">
        <v>15</v>
      </c>
      <c r="Q25" s="5">
        <v>15</v>
      </c>
      <c r="R25" s="5">
        <v>10</v>
      </c>
      <c r="S25" s="5">
        <v>0</v>
      </c>
      <c r="T25" s="5">
        <v>15</v>
      </c>
      <c r="U25" s="5">
        <f>SUM(Table[[#This Row],[Premissa 1]:[Premissa 8]])</f>
        <v>85</v>
      </c>
      <c r="V25" s="5" t="s">
        <v>9</v>
      </c>
      <c r="W25" t="s">
        <v>135</v>
      </c>
    </row>
    <row r="26" spans="1:23" ht="15" customHeight="1">
      <c r="A26" s="12">
        <v>7900453110</v>
      </c>
      <c r="B26" s="5" t="str">
        <f>MID(Table[[#This Row],[Ativo]],1,2)</f>
        <v>79</v>
      </c>
      <c r="C26" s="5" t="s">
        <v>137</v>
      </c>
      <c r="D26" s="5" t="s">
        <v>41</v>
      </c>
      <c r="E26" s="5" t="s">
        <v>42</v>
      </c>
      <c r="F26" s="4" t="str">
        <f>IFERROR(_xlfn.XLOOKUP(Table[[#This Row],[Ativo]],Pendentes[COD_RELIGADOR],Pendentes[SS_ORIGINAL]),"CONCLUÍDA")</f>
        <v>ETO-COEP 00087/2026</v>
      </c>
      <c r="G26" s="4" t="s">
        <v>451</v>
      </c>
      <c r="H26" s="4" t="s">
        <v>963</v>
      </c>
      <c r="I26" s="4" t="s">
        <v>694</v>
      </c>
      <c r="J26" s="29" t="s">
        <v>480</v>
      </c>
      <c r="K26" s="31">
        <v>1</v>
      </c>
      <c r="L26" t="str">
        <f>IFERROR(_xlfn.XLOOKUP(Table[[#This Row],[Ativo]],Pendentes[COD_RELIGADOR],Pendentes[DESCRICAO]),"")</f>
        <v>10/07/2026 EQUIPAMENTO SELECIONADO PARA COMPRA PARTE ATIVA30/06.PARECER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v>
      </c>
      <c r="M26" s="5">
        <v>15</v>
      </c>
      <c r="N26" s="5">
        <v>10</v>
      </c>
      <c r="O26" s="5">
        <v>5</v>
      </c>
      <c r="P26" s="5">
        <v>15</v>
      </c>
      <c r="Q26" s="5">
        <v>15</v>
      </c>
      <c r="R26" s="5">
        <v>10</v>
      </c>
      <c r="S26" s="5">
        <v>0</v>
      </c>
      <c r="T26" s="5">
        <v>15</v>
      </c>
      <c r="U26" s="5">
        <f>SUM(Table[[#This Row],[Premissa 1]:[Premissa 8]])</f>
        <v>85</v>
      </c>
      <c r="V26" s="5" t="s">
        <v>9</v>
      </c>
      <c r="W26" t="s">
        <v>140</v>
      </c>
    </row>
    <row r="27" spans="1:23" ht="15" customHeight="1">
      <c r="A27" s="4">
        <v>7925871077</v>
      </c>
      <c r="B27" s="5" t="str">
        <f>MID(Table[[#This Row],[Ativo]],1,2)</f>
        <v>79</v>
      </c>
      <c r="C27" s="5" t="s">
        <v>144</v>
      </c>
      <c r="D27" s="5" t="s">
        <v>57</v>
      </c>
      <c r="E27" s="5" t="s">
        <v>51</v>
      </c>
      <c r="F27" s="4" t="str">
        <f>IFERROR(_xlfn.XLOOKUP(Table[[#This Row],[Ativo]],Pendentes[COD_RELIGADOR],Pendentes[SS_ORIGINAL]),"CONCLUÍDA")</f>
        <v>ETO-COEP 00048/2026</v>
      </c>
      <c r="G27" s="4" t="s">
        <v>451</v>
      </c>
      <c r="H27" s="4" t="s">
        <v>963</v>
      </c>
      <c r="I27" s="4" t="s">
        <v>694</v>
      </c>
      <c r="J27" s="29" t="s">
        <v>480</v>
      </c>
      <c r="K27" s="31">
        <v>1</v>
      </c>
      <c r="L27" t="str">
        <f>IFERROR(_xlfn.XLOOKUP(Table[[#This Row],[Ativo]],Pendentes[COD_RELIGADOR],Pendentes[DESCRICAO]),"")</f>
        <v>30/06 PARECER COEP: AGUARDANDO RETORNO DO DMSLPARECER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v>
      </c>
      <c r="M27" s="5">
        <v>15</v>
      </c>
      <c r="N27" s="5">
        <v>10</v>
      </c>
      <c r="O27" s="5">
        <v>15</v>
      </c>
      <c r="P27" s="5">
        <v>15</v>
      </c>
      <c r="Q27" s="5">
        <v>15</v>
      </c>
      <c r="R27" s="5">
        <v>10</v>
      </c>
      <c r="S27" s="5">
        <v>0</v>
      </c>
      <c r="T27" s="5">
        <v>0</v>
      </c>
      <c r="U27" s="5">
        <f>SUM(Table[[#This Row],[Premissa 1]:[Premissa 8]])</f>
        <v>80</v>
      </c>
      <c r="V27" s="5" t="s">
        <v>9</v>
      </c>
      <c r="W27" t="s">
        <v>147</v>
      </c>
    </row>
    <row r="28" spans="1:23" ht="15" customHeight="1">
      <c r="A28" s="4">
        <v>5803327001</v>
      </c>
      <c r="B28" s="5" t="str">
        <f>MID(Table[[#This Row],[Ativo]],1,2)</f>
        <v>58</v>
      </c>
      <c r="C28" s="5" t="s">
        <v>41</v>
      </c>
      <c r="D28" s="5" t="s">
        <v>41</v>
      </c>
      <c r="E28" s="5" t="s">
        <v>42</v>
      </c>
      <c r="F28" s="4" t="str">
        <f>IFERROR(_xlfn.XLOOKUP(Table[[#This Row],[Ativo]],Pendentes[COD_RELIGADOR],Pendentes[SS_ORIGINAL]),"CONCLUÍDA")</f>
        <v>ETO-COEP 00149/2026</v>
      </c>
      <c r="G28" s="11" t="s">
        <v>467</v>
      </c>
      <c r="H28" s="4" t="s">
        <v>572</v>
      </c>
      <c r="I28" s="4" t="s">
        <v>443</v>
      </c>
      <c r="J28" s="29" t="s">
        <v>487</v>
      </c>
      <c r="K28" s="31">
        <v>1</v>
      </c>
      <c r="L28" t="str">
        <f>IFERROR(_xlfn.XLOOKUP(Table[[#This Row],[Ativo]],Pendentes[COD_RELIGADOR],Pendentes[DESCRICAO]),"")</f>
        <v>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v>
      </c>
      <c r="M28" s="5">
        <v>40</v>
      </c>
      <c r="N28" s="5">
        <v>0</v>
      </c>
      <c r="O28" s="5">
        <v>0</v>
      </c>
      <c r="P28" s="5">
        <v>20</v>
      </c>
      <c r="Q28" s="5">
        <v>20</v>
      </c>
      <c r="R28" s="5" t="s">
        <v>45</v>
      </c>
      <c r="S28" s="5" t="s">
        <v>45</v>
      </c>
      <c r="T28" s="5" t="s">
        <v>45</v>
      </c>
      <c r="U28" s="5">
        <f>SUM(Table[[#This Row],[Premissa 1]:[Premissa 8]])</f>
        <v>80</v>
      </c>
      <c r="V28" s="5" t="s">
        <v>13</v>
      </c>
      <c r="W28" t="s">
        <v>151</v>
      </c>
    </row>
    <row r="29" spans="1:23" ht="15" customHeight="1">
      <c r="A29" s="4">
        <v>7900230155</v>
      </c>
      <c r="B29" s="5" t="str">
        <f>MID(Table[[#This Row],[Ativo]],1,2)</f>
        <v>79</v>
      </c>
      <c r="C29" s="5" t="s">
        <v>153</v>
      </c>
      <c r="D29" s="5" t="s">
        <v>154</v>
      </c>
      <c r="E29" s="5" t="s">
        <v>51</v>
      </c>
      <c r="F29" s="4" t="str">
        <f>IFERROR(_xlfn.XLOOKUP(Table[[#This Row],[Ativo]],Pendentes[COD_RELIGADOR],Pendentes[SS_ORIGINAL]),"CONCLUÍDA")</f>
        <v>ETO-PROT 00143/2026</v>
      </c>
      <c r="G29" s="4" t="s">
        <v>471</v>
      </c>
      <c r="I29" s="4" t="s">
        <v>443</v>
      </c>
      <c r="J29" s="29" t="s">
        <v>489</v>
      </c>
      <c r="K29" s="31">
        <v>1</v>
      </c>
      <c r="L29" t="str">
        <f>IFERROR(_xlfn.XLOOKUP(Table[[#This Row],[Ativo]],Pendentes[COD_RELIGADOR],Pendentes[DESCRICAO]),"")</f>
        <v>07/07/2026 PARECER COEP: MATERIAL ENVIADO , CONFORME ALINHANDO COM O WANDER REALIZAR SUBSTIUIÇÂO DO EQUIPAMENTO, FAVOR ESCREVER PARECER COCM ANTES DE PASSAR PARA PROTEÇÂO, DO QUE FOI REALIZADO01/07/2026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pendencias.Senhores Favor verificar RL 7900230155  o mesmo sinalizou aberto  no SCADA porem a cidade de Palmeirante estava normal , feito um reset no rl e o mesmo subiu fechado.08/07/2026 PARECER DCMD: EQUIPE ETO-LVGR01  DE GUARAI ESTEVE NO RL 7900230155 DIA 25-06-2026 E FEZ TODAS A PENDENCIAS DO RL, OBS: EQUIPE SO NAO CONECTOU O CABO DO TRAFO NO RL. RL ESTA PRONTO PARA O COMISSIONAMENTO</v>
      </c>
      <c r="M29" s="5">
        <v>15</v>
      </c>
      <c r="N29" s="5">
        <v>20</v>
      </c>
      <c r="O29" s="5">
        <v>5</v>
      </c>
      <c r="P29" s="5">
        <v>15</v>
      </c>
      <c r="Q29" s="5">
        <v>0</v>
      </c>
      <c r="R29" s="5">
        <v>10</v>
      </c>
      <c r="S29" s="5">
        <v>0</v>
      </c>
      <c r="T29" s="5">
        <v>15</v>
      </c>
      <c r="U29" s="5">
        <f>SUM(Table[[#This Row],[Premissa 1]:[Premissa 8]])</f>
        <v>80</v>
      </c>
      <c r="V29" s="5" t="s">
        <v>9</v>
      </c>
      <c r="W29" t="s">
        <v>157</v>
      </c>
    </row>
    <row r="30" spans="1:23" ht="15" customHeight="1">
      <c r="A30" s="4">
        <v>7900543083</v>
      </c>
      <c r="B30" s="5" t="str">
        <f>MID(Table[[#This Row],[Ativo]],1,2)</f>
        <v>79</v>
      </c>
      <c r="C30" s="5" t="s">
        <v>490</v>
      </c>
      <c r="D30" s="5" t="s">
        <v>62</v>
      </c>
      <c r="E30" s="5" t="s">
        <v>42</v>
      </c>
      <c r="F30" s="49"/>
      <c r="I30" s="4" t="s">
        <v>438</v>
      </c>
      <c r="J30" s="29"/>
      <c r="K30" s="31"/>
      <c r="L30" t="str">
        <f>IFERROR(_xlfn.XLOOKUP(Table[[#This Row],[Ativo]],Pendentes[COD_RELIGADOR],Pendentes[DESCRICAO]),"")</f>
        <v/>
      </c>
      <c r="M30" s="5">
        <v>15</v>
      </c>
      <c r="N30" s="5">
        <v>20</v>
      </c>
      <c r="O30" s="5">
        <v>5</v>
      </c>
      <c r="P30" s="5">
        <v>15</v>
      </c>
      <c r="Q30" s="5">
        <v>0</v>
      </c>
      <c r="R30" s="5">
        <v>0</v>
      </c>
      <c r="S30" s="5">
        <v>10</v>
      </c>
      <c r="T30" s="5">
        <v>15</v>
      </c>
      <c r="U30" s="5">
        <f>SUM(Table[[#This Row],[Premissa 1]:[Premissa 8]])</f>
        <v>80</v>
      </c>
      <c r="V30" s="5" t="s">
        <v>9</v>
      </c>
      <c r="W30" t="s">
        <v>491</v>
      </c>
    </row>
    <row r="31" spans="1:23" ht="15" customHeight="1">
      <c r="A31" s="4">
        <v>7900930040</v>
      </c>
      <c r="B31" s="5" t="str">
        <f>MID(Table[[#This Row],[Ativo]],1,2)</f>
        <v>79</v>
      </c>
      <c r="C31" s="5" t="s">
        <v>492</v>
      </c>
      <c r="D31" s="5" t="s">
        <v>57</v>
      </c>
      <c r="E31" s="5" t="s">
        <v>51</v>
      </c>
      <c r="F31" s="4" t="str">
        <f>IFERROR(_xlfn.XLOOKUP(Table[[#This Row],[Ativo]],Pendentes[COD_RELIGADOR],Pendentes[SS_ORIGINAL]),"CONCLUÍDA")</f>
        <v>CONCLUÍDA</v>
      </c>
      <c r="I31" s="4" t="s">
        <v>438</v>
      </c>
      <c r="J31" s="29"/>
      <c r="K31" s="31"/>
      <c r="L31" t="str">
        <f>IFERROR(_xlfn.XLOOKUP(Table[[#This Row],[Ativo]],Pendentes[COD_RELIGADOR],Pendentes[DESCRICAO]),"")</f>
        <v/>
      </c>
      <c r="M31" s="5">
        <v>15</v>
      </c>
      <c r="N31" s="5">
        <v>20</v>
      </c>
      <c r="O31" s="5">
        <v>5</v>
      </c>
      <c r="P31" s="5">
        <v>15</v>
      </c>
      <c r="Q31" s="5">
        <v>0</v>
      </c>
      <c r="R31" s="5">
        <v>0</v>
      </c>
      <c r="S31" s="5">
        <v>10</v>
      </c>
      <c r="T31" s="5">
        <v>15</v>
      </c>
      <c r="U31" s="5">
        <f>SUM(Table[[#This Row],[Premissa 1]:[Premissa 8]])</f>
        <v>80</v>
      </c>
      <c r="V31" s="5" t="s">
        <v>9</v>
      </c>
      <c r="W31" t="s">
        <v>493</v>
      </c>
    </row>
    <row r="32" spans="1:23" ht="15" customHeight="1">
      <c r="A32" s="4">
        <v>7931383086</v>
      </c>
      <c r="B32" s="5" t="str">
        <f>MID(Table[[#This Row],[Ativo]],1,2)</f>
        <v>79</v>
      </c>
      <c r="C32" s="5" t="s">
        <v>209</v>
      </c>
      <c r="D32" s="5" t="s">
        <v>210</v>
      </c>
      <c r="E32" s="5" t="s">
        <v>42</v>
      </c>
      <c r="F32" s="4" t="str">
        <f>IFERROR(_xlfn.XLOOKUP(Table[[#This Row],[Ativo]],Pendentes[COD_RELIGADOR],Pendentes[SS_ORIGINAL]),"CONCLUÍDA")</f>
        <v>CONCLUÍDA</v>
      </c>
      <c r="I32" s="4" t="s">
        <v>438</v>
      </c>
      <c r="J32" s="29"/>
      <c r="K32" s="31"/>
      <c r="L32" t="str">
        <f>IFERROR(_xlfn.XLOOKUP(Table[[#This Row],[Ativo]],Pendentes[COD_RELIGADOR],Pendentes[DESCRICAO]),"")</f>
        <v/>
      </c>
      <c r="M32" s="5">
        <v>15</v>
      </c>
      <c r="N32" s="5">
        <v>20</v>
      </c>
      <c r="O32" s="5">
        <v>5</v>
      </c>
      <c r="P32" s="5">
        <v>15</v>
      </c>
      <c r="Q32" s="5">
        <v>0</v>
      </c>
      <c r="R32" s="5">
        <v>10</v>
      </c>
      <c r="S32" s="5">
        <v>0</v>
      </c>
      <c r="T32" s="5">
        <v>15</v>
      </c>
      <c r="U32" s="5">
        <f>SUM(Table[[#This Row],[Premissa 1]:[Premissa 8]])</f>
        <v>80</v>
      </c>
      <c r="V32" s="5" t="s">
        <v>9</v>
      </c>
      <c r="W32" t="s">
        <v>494</v>
      </c>
    </row>
    <row r="33" spans="1:23" ht="15" customHeight="1">
      <c r="A33" s="5">
        <v>7908302256</v>
      </c>
      <c r="B33" s="5" t="str">
        <f>MID(Table[[#This Row],[Ativo]],1,2)</f>
        <v>79</v>
      </c>
      <c r="C33" s="5" t="s">
        <v>107</v>
      </c>
      <c r="D33" s="5" t="s">
        <v>108</v>
      </c>
      <c r="E33" s="5" t="s">
        <v>42</v>
      </c>
      <c r="F33" s="4" t="str">
        <f>IFERROR(_xlfn.XLOOKUP(Table[[#This Row],[Ativo]],Pendentes[COD_RELIGADOR],Pendentes[SS_ORIGINAL]),"CONCLUÍDA")</f>
        <v>ETO-TELE 00997/2026</v>
      </c>
      <c r="G33" s="5" t="s">
        <v>495</v>
      </c>
      <c r="J33" s="29"/>
      <c r="K33" s="31"/>
      <c r="L33" t="str">
        <f>IFERROR(_xlfn.XLOOKUP(Table[[#This Row],[Ativo]],Pendentes[COD_RELIGADOR],Pendentes[DESCRICAO]),"")</f>
        <v>RL teve nota baixada (ETO-TELE 970/2026) pore´m eqp continua fora de operação, solicito programação para equipe verificar em campo</v>
      </c>
      <c r="M33" s="5">
        <v>5</v>
      </c>
      <c r="N33" s="5">
        <v>10</v>
      </c>
      <c r="O33" s="5">
        <v>5</v>
      </c>
      <c r="P33" s="5">
        <v>15</v>
      </c>
      <c r="Q33" s="5">
        <v>15</v>
      </c>
      <c r="R33" s="5">
        <v>10</v>
      </c>
      <c r="S33" s="5">
        <v>0</v>
      </c>
      <c r="T33" s="5">
        <v>15</v>
      </c>
      <c r="U33" s="5">
        <f>SUM(Table[[#This Row],[Premissa 1]:[Premissa 8]])</f>
        <v>75</v>
      </c>
      <c r="V33" s="5" t="s">
        <v>13</v>
      </c>
      <c r="W33" t="s">
        <v>160</v>
      </c>
    </row>
    <row r="34" spans="1:23" ht="15" customHeight="1">
      <c r="A34" s="12">
        <v>5800371025</v>
      </c>
      <c r="B34" s="5" t="str">
        <f>MID(Table[[#This Row],[Ativo]],1,2)</f>
        <v>58</v>
      </c>
      <c r="C34" s="5" t="s">
        <v>162</v>
      </c>
      <c r="D34" s="5" t="s">
        <v>154</v>
      </c>
      <c r="E34" s="5" t="s">
        <v>51</v>
      </c>
      <c r="F34" s="4" t="str">
        <f>IFERROR(_xlfn.XLOOKUP(Table[[#This Row],[Ativo]],Pendentes[COD_RELIGADOR],Pendentes[SS_ORIGINAL]),"CONCLUÍDA")</f>
        <v>ETO-RD-GR 00766/2026</v>
      </c>
      <c r="G34" s="4" t="s">
        <v>445</v>
      </c>
      <c r="H34" s="5" t="s">
        <v>569</v>
      </c>
      <c r="I34" s="4" t="s">
        <v>443</v>
      </c>
      <c r="J34" s="29" t="s">
        <v>460</v>
      </c>
      <c r="K34" s="31">
        <v>1</v>
      </c>
      <c r="L34" t="str">
        <f>IFERROR(_xlfn.XLOOKUP(Table[[#This Row],[Ativo]],Pendentes[COD_RELIGADOR],Pendentes[DESCRICAO]),"")</f>
        <v>16/07/2026 PARECER COEP: ALINHADO COM O KELLITON REALIZAR SUBSTITUIÇÃO DO CONTROLE DE TUPIRAMA, ALINHADO COM O JEAN QUE OS CABOS COMPATIBILIZADORES VÃO CHEGAR 16/08 , ATÉ ESSA DATA MANTER ESSA SS E CONTROLE RUA, DEPOIS REPASSAR PARA O DMSLPARECER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v>
      </c>
      <c r="M34" s="5">
        <v>0</v>
      </c>
      <c r="N34" s="5">
        <v>20</v>
      </c>
      <c r="O34" s="5">
        <v>20</v>
      </c>
      <c r="P34" s="5">
        <v>10</v>
      </c>
      <c r="Q34" s="5">
        <v>20</v>
      </c>
      <c r="R34" s="5" t="s">
        <v>45</v>
      </c>
      <c r="S34" s="5" t="s">
        <v>45</v>
      </c>
      <c r="T34" s="5" t="s">
        <v>45</v>
      </c>
      <c r="U34" s="5">
        <f>SUM(Table[[#This Row],[Premissa 1]:[Premissa 8]])</f>
        <v>70</v>
      </c>
      <c r="V34" s="5" t="s">
        <v>13</v>
      </c>
      <c r="W34" t="s">
        <v>165</v>
      </c>
    </row>
    <row r="35" spans="1:23" ht="15" customHeight="1">
      <c r="A35" s="4">
        <v>7926089013</v>
      </c>
      <c r="B35" s="5" t="str">
        <f>MID(Table[[#This Row],[Ativo]],1,2)</f>
        <v>79</v>
      </c>
      <c r="C35" s="5" t="s">
        <v>97</v>
      </c>
      <c r="D35" s="5" t="s">
        <v>97</v>
      </c>
      <c r="E35" s="5" t="s">
        <v>42</v>
      </c>
      <c r="F35" s="4" t="str">
        <f>IFERROR(_xlfn.XLOOKUP(Table[[#This Row],[Ativo]],Pendentes[COD_RELIGADOR],Pendentes[SS_ORIGINAL]),"CONCLUÍDA")</f>
        <v>ETO-COEP 00078/2026</v>
      </c>
      <c r="G35" s="4" t="s">
        <v>451</v>
      </c>
      <c r="H35" s="4" t="s">
        <v>963</v>
      </c>
      <c r="I35" s="4" t="s">
        <v>694</v>
      </c>
      <c r="J35" s="29" t="s">
        <v>480</v>
      </c>
      <c r="K35" s="31">
        <v>1</v>
      </c>
      <c r="L35" t="str">
        <f>IFERROR(_xlfn.XLOOKUP(Table[[#This Row],[Ativo]],Pendentes[COD_RELIGADOR],Pendentes[DESCRICAO]),"")</f>
        <v>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v>
      </c>
      <c r="M35" s="5">
        <v>15</v>
      </c>
      <c r="N35" s="5">
        <v>10</v>
      </c>
      <c r="O35" s="5">
        <v>5</v>
      </c>
      <c r="P35" s="5">
        <v>15</v>
      </c>
      <c r="Q35" s="5">
        <v>15</v>
      </c>
      <c r="R35" s="5">
        <v>10</v>
      </c>
      <c r="S35" s="5">
        <v>0</v>
      </c>
      <c r="T35" s="5">
        <v>0</v>
      </c>
      <c r="U35" s="5">
        <f>SUM(Table[[#This Row],[Premissa 1]:[Premissa 8]])</f>
        <v>70</v>
      </c>
      <c r="V35" s="5" t="s">
        <v>13</v>
      </c>
      <c r="W35" t="s">
        <v>174</v>
      </c>
    </row>
    <row r="36" spans="1:23" ht="15" customHeight="1">
      <c r="A36" s="4">
        <v>7925087021</v>
      </c>
      <c r="B36" s="5" t="str">
        <f>MID(Table[[#This Row],[Ativo]],1,2)</f>
        <v>79</v>
      </c>
      <c r="C36" s="5" t="s">
        <v>176</v>
      </c>
      <c r="D36" s="5" t="s">
        <v>177</v>
      </c>
      <c r="E36" s="5" t="s">
        <v>76</v>
      </c>
      <c r="F36" s="4" t="str">
        <f>IFERROR(_xlfn.XLOOKUP(Table[[#This Row],[Ativo]],Pendentes[COD_RELIGADOR],Pendentes[SS_ORIGINAL]),"CONCLUÍDA")</f>
        <v>ETO-PROT 00152/2026</v>
      </c>
      <c r="G36" s="4" t="s">
        <v>471</v>
      </c>
      <c r="H36" s="38"/>
      <c r="I36" s="4" t="s">
        <v>443</v>
      </c>
      <c r="J36" s="29" t="s">
        <v>480</v>
      </c>
      <c r="K36" s="31">
        <v>1</v>
      </c>
      <c r="L36" t="str">
        <f>IFERROR(_xlfn.XLOOKUP(Table[[#This Row],[Ativo]],Pendentes[COD_RELIGADOR],Pendentes[DESCRICAO]),"")</f>
        <v>10/07 PARECER COEP: EQUIPAMENTO ENTREGUE AOS COCM´S FAVOR INFORMAR PRAZO DE SUBSTUIÇÃO PARA O DMSL E REPASSAR DEPOIS PARA PROTEÇÃO REALIZAR OS AJUSTES E DESCREVER NA SS O SERVIÇO REALIZADOPARECER COEP: EM ROTA DE ENTREGA, VERIFICAR PREVISÃO DE CHEGADARealizar a substituição do tanque do equipamento.</v>
      </c>
      <c r="M36" s="5">
        <v>15</v>
      </c>
      <c r="N36" s="5">
        <v>10</v>
      </c>
      <c r="O36" s="5">
        <v>5</v>
      </c>
      <c r="P36" s="5">
        <v>0</v>
      </c>
      <c r="Q36" s="5">
        <v>15</v>
      </c>
      <c r="R36" s="5">
        <v>10</v>
      </c>
      <c r="S36" s="5">
        <v>0</v>
      </c>
      <c r="T36" s="5">
        <v>15</v>
      </c>
      <c r="U36" s="5">
        <f>SUM(Table[[#This Row],[Premissa 1]:[Premissa 8]])</f>
        <v>70</v>
      </c>
      <c r="V36" s="5" t="s">
        <v>13</v>
      </c>
      <c r="W36" t="s">
        <v>180</v>
      </c>
    </row>
    <row r="37" spans="1:23" ht="15" customHeight="1">
      <c r="A37" s="4">
        <v>5801866013</v>
      </c>
      <c r="B37" s="5" t="str">
        <f>MID(Table[[#This Row],[Ativo]],1,2)</f>
        <v>58</v>
      </c>
      <c r="C37" s="5" t="s">
        <v>97</v>
      </c>
      <c r="D37" s="5" t="s">
        <v>97</v>
      </c>
      <c r="E37" s="5" t="s">
        <v>42</v>
      </c>
      <c r="F37" s="4" t="str">
        <f>IFERROR(_xlfn.XLOOKUP(Table[[#This Row],[Ativo]],Pendentes[COD_RELIGADOR],Pendentes[SS_ORIGINAL]),"CONCLUÍDA")</f>
        <v>ETO-PROT 00151/2026</v>
      </c>
      <c r="G37" s="4" t="s">
        <v>471</v>
      </c>
      <c r="H37" s="38"/>
      <c r="I37" s="4" t="s">
        <v>443</v>
      </c>
      <c r="J37" s="29" t="s">
        <v>444</v>
      </c>
      <c r="K37" s="31">
        <v>1</v>
      </c>
      <c r="L37" t="str">
        <f>IFERROR(_xlfn.XLOOKUP(Table[[#This Row],[Ativo]],Pendentes[COD_RELIGADOR],Pendentes[DESCRICAO]),"")</f>
        <v>15/07 PARECER COCM, FOI ATENDIDA PELA OS ETO-RD-PS 1616/2026 OBRA-021260053910/07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v>
      </c>
      <c r="M37" s="5">
        <v>0</v>
      </c>
      <c r="N37" s="5">
        <v>20</v>
      </c>
      <c r="O37" s="5">
        <v>20</v>
      </c>
      <c r="P37" s="5">
        <v>20</v>
      </c>
      <c r="Q37" s="5">
        <v>10</v>
      </c>
      <c r="R37" s="5" t="s">
        <v>45</v>
      </c>
      <c r="S37" s="5" t="s">
        <v>45</v>
      </c>
      <c r="T37" s="5" t="s">
        <v>45</v>
      </c>
      <c r="U37" s="5">
        <f>SUM(Table[[#This Row],[Premissa 1]:[Premissa 8]])</f>
        <v>70</v>
      </c>
      <c r="V37" s="5" t="s">
        <v>13</v>
      </c>
      <c r="W37" t="s">
        <v>184</v>
      </c>
    </row>
    <row r="38" spans="1:23" ht="15" customHeight="1">
      <c r="A38" s="4">
        <v>5865120195</v>
      </c>
      <c r="B38" s="5" t="str">
        <f>MID(Table[[#This Row],[Ativo]],1,2)</f>
        <v>58</v>
      </c>
      <c r="C38" s="5" t="s">
        <v>167</v>
      </c>
      <c r="D38" s="5" t="s">
        <v>50</v>
      </c>
      <c r="E38" s="5" t="s">
        <v>51</v>
      </c>
      <c r="F38" s="4" t="str">
        <f>IFERROR(_xlfn.XLOOKUP(Table[[#This Row],[Ativo]],Pendentes[COD_RELIGADOR],Pendentes[SS_ORIGINAL]),"CONCLUÍDA")</f>
        <v>ETO-PROT 00144/2026</v>
      </c>
      <c r="G38" s="4" t="s">
        <v>471</v>
      </c>
      <c r="I38" s="4" t="s">
        <v>443</v>
      </c>
      <c r="J38" s="29" t="s">
        <v>497</v>
      </c>
      <c r="K38" s="31">
        <v>1</v>
      </c>
      <c r="L38" t="str">
        <f>IFERROR(_xlfn.XLOOKUP(Table[[#This Row],[Ativo]],Pendentes[COD_RELIGADOR],Pendentes[DESCRICAO]),"")</f>
        <v>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PROTEÇÃO:FAVOR COMISSIONAR REGULADOR 5865120195 – LD Santa Maria Ramal Centenário e Recursolândia – 34,5kV. AJUSTE REALIZADO, DISPONÍVEL NO APP DA PROTEÇÃO.*********************** INSTALADO NA OBRA 0702400720 GENTILEZA, REALIZAR O COMISSIONAMENTO.LAUDO EM ANEXO.COORD EO: 889017, 901685708-07-2026 PARECER: FOI FEITO A MELHORIA NO REGULADOR CONFORME FOTOS EM ANEXO.</v>
      </c>
      <c r="M38" s="5">
        <v>20</v>
      </c>
      <c r="N38" s="5">
        <v>20</v>
      </c>
      <c r="O38" s="5">
        <v>20</v>
      </c>
      <c r="P38" s="5">
        <v>10</v>
      </c>
      <c r="Q38" s="5">
        <v>0</v>
      </c>
      <c r="R38" s="5" t="s">
        <v>45</v>
      </c>
      <c r="S38" s="5" t="s">
        <v>45</v>
      </c>
      <c r="T38" s="5" t="s">
        <v>45</v>
      </c>
      <c r="U38" s="5">
        <f>SUM(Table[[#This Row],[Premissa 1]:[Premissa 8]])</f>
        <v>70</v>
      </c>
      <c r="V38" s="5" t="s">
        <v>13</v>
      </c>
      <c r="W38" t="s">
        <v>170</v>
      </c>
    </row>
    <row r="39" spans="1:23" ht="15" customHeight="1">
      <c r="A39" s="12">
        <v>5853360007</v>
      </c>
      <c r="B39" s="5" t="str">
        <f>MID(Table[[#This Row],[Ativo]],1,2)</f>
        <v>58</v>
      </c>
      <c r="C39" s="5" t="s">
        <v>186</v>
      </c>
      <c r="D39" s="5" t="s">
        <v>186</v>
      </c>
      <c r="E39" s="5" t="s">
        <v>42</v>
      </c>
      <c r="F39" s="4" t="str">
        <f>IFERROR(_xlfn.XLOOKUP(Table[[#This Row],[Ativo]],Pendentes[COD_RELIGADOR],Pendentes[SS_ORIGINAL]),"CONCLUÍDA")</f>
        <v>ETO-RD-PS 00323/2025</v>
      </c>
      <c r="G39" s="28" t="s">
        <v>498</v>
      </c>
      <c r="H39" s="4" t="s">
        <v>499</v>
      </c>
      <c r="J39" s="29" t="s">
        <v>497</v>
      </c>
      <c r="K39" s="31">
        <v>1</v>
      </c>
      <c r="L39" t="str">
        <f>IFERROR(_xlfn.XLOOKUP(Table[[#This Row],[Ativo]],Pendentes[COD_RELIGADOR],Pendentes[DESCRICAO]),"")</f>
        <v>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v>
      </c>
      <c r="M39" s="5">
        <v>0</v>
      </c>
      <c r="N39" s="5">
        <v>20</v>
      </c>
      <c r="O39" s="5">
        <v>20</v>
      </c>
      <c r="P39" s="5">
        <v>10</v>
      </c>
      <c r="Q39" s="5">
        <v>20</v>
      </c>
      <c r="R39" s="5" t="s">
        <v>45</v>
      </c>
      <c r="S39" s="5" t="s">
        <v>45</v>
      </c>
      <c r="T39" s="5" t="s">
        <v>45</v>
      </c>
      <c r="U39" s="5">
        <f>SUM(Table[[#This Row],[Premissa 1]:[Premissa 8]])</f>
        <v>70</v>
      </c>
      <c r="V39" s="5" t="s">
        <v>13</v>
      </c>
      <c r="W39" t="s">
        <v>189</v>
      </c>
    </row>
    <row r="40" spans="1:23" ht="15" customHeight="1">
      <c r="A40" s="4">
        <v>5800366016</v>
      </c>
      <c r="B40" s="5" t="str">
        <f>MID(Table[[#This Row],[Ativo]],1,2)</f>
        <v>58</v>
      </c>
      <c r="C40" s="5" t="s">
        <v>500</v>
      </c>
      <c r="D40" s="5" t="s">
        <v>223</v>
      </c>
      <c r="E40" s="5" t="s">
        <v>51</v>
      </c>
      <c r="F40" s="4" t="str">
        <f>IFERROR(_xlfn.XLOOKUP(Table[[#This Row],[Ativo]],Pendentes[COD_RELIGADOR],Pendentes[SS_ORIGINAL]),"CONCLUÍDA")</f>
        <v>CONCLUÍDA</v>
      </c>
      <c r="I40" s="4" t="s">
        <v>438</v>
      </c>
      <c r="J40" s="29"/>
      <c r="K40" s="31"/>
      <c r="L40" t="str">
        <f>IFERROR(_xlfn.XLOOKUP(Table[[#This Row],[Ativo]],Pendentes[COD_RELIGADOR],Pendentes[DESCRICAO]),"")</f>
        <v/>
      </c>
      <c r="M40" s="5">
        <v>0</v>
      </c>
      <c r="N40" s="5">
        <v>20</v>
      </c>
      <c r="O40" s="5">
        <v>20</v>
      </c>
      <c r="P40" s="5">
        <v>20</v>
      </c>
      <c r="Q40" s="5">
        <v>10</v>
      </c>
      <c r="R40" s="5" t="s">
        <v>45</v>
      </c>
      <c r="S40" s="5" t="s">
        <v>45</v>
      </c>
      <c r="T40" s="5" t="s">
        <v>45</v>
      </c>
      <c r="U40" s="5">
        <f>SUM(Table[[#This Row],[Premissa 1]:[Premissa 8]])</f>
        <v>70</v>
      </c>
      <c r="V40" s="5" t="s">
        <v>13</v>
      </c>
      <c r="W40" t="s">
        <v>501</v>
      </c>
    </row>
    <row r="41" spans="1:23" ht="15" customHeight="1">
      <c r="A41" s="4">
        <v>7955523028</v>
      </c>
      <c r="B41" s="5" t="str">
        <f>MID(Table[[#This Row],[Ativo]],1,2)</f>
        <v>79</v>
      </c>
      <c r="C41" s="5" t="s">
        <v>502</v>
      </c>
      <c r="D41" s="5" t="s">
        <v>75</v>
      </c>
      <c r="E41" s="5" t="s">
        <v>76</v>
      </c>
      <c r="F41" s="4" t="str">
        <f>IFERROR(_xlfn.XLOOKUP(Table[[#This Row],[Ativo]],Pendentes[COD_RELIGADOR],Pendentes[SS_ORIGINAL]),"CONCLUÍDA")</f>
        <v>CONCLUÍDA</v>
      </c>
      <c r="I41" s="4" t="s">
        <v>438</v>
      </c>
      <c r="J41" s="29"/>
      <c r="K41" s="31"/>
      <c r="L41" t="str">
        <f>IFERROR(_xlfn.XLOOKUP(Table[[#This Row],[Ativo]],Pendentes[COD_RELIGADOR],Pendentes[DESCRICAO]),"")</f>
        <v/>
      </c>
      <c r="M41" s="5">
        <v>15</v>
      </c>
      <c r="N41" s="5">
        <v>10</v>
      </c>
      <c r="O41" s="5">
        <v>5</v>
      </c>
      <c r="P41" s="5">
        <v>15</v>
      </c>
      <c r="Q41" s="5">
        <v>15</v>
      </c>
      <c r="R41" s="5">
        <v>10</v>
      </c>
      <c r="S41" s="5">
        <v>0</v>
      </c>
      <c r="T41" s="5">
        <v>0</v>
      </c>
      <c r="U41" s="5">
        <f>SUM(Table[[#This Row],[Premissa 1]:[Premissa 8]])</f>
        <v>70</v>
      </c>
      <c r="V41" s="5" t="s">
        <v>13</v>
      </c>
      <c r="W41" t="s">
        <v>503</v>
      </c>
    </row>
    <row r="42" spans="1:23" ht="15" customHeight="1">
      <c r="A42" s="4">
        <v>7900573047</v>
      </c>
      <c r="B42" s="5" t="str">
        <f>MID(Table[[#This Row],[Ativo]],1,2)</f>
        <v>79</v>
      </c>
      <c r="C42" s="5" t="s">
        <v>191</v>
      </c>
      <c r="D42" s="5" t="s">
        <v>449</v>
      </c>
      <c r="E42" s="5" t="s">
        <v>76</v>
      </c>
      <c r="F42" s="4" t="str">
        <f>IFERROR(_xlfn.XLOOKUP(Table[[#This Row],[Ativo]],Pendentes[COD_RELIGADOR],Pendentes[SS_ORIGINAL]),"CONCLUÍDA")</f>
        <v>ETO-PROT 00153/2026</v>
      </c>
      <c r="G42" s="4" t="s">
        <v>471</v>
      </c>
      <c r="H42" s="38"/>
      <c r="I42" s="4" t="s">
        <v>443</v>
      </c>
      <c r="J42" s="29" t="s">
        <v>469</v>
      </c>
      <c r="K42" s="31">
        <v>1</v>
      </c>
      <c r="L42" t="str">
        <f>IFERROR(_xlfn.XLOOKUP(Table[[#This Row],[Ativo]],Pendentes[COD_RELIGADOR],Pendentes[DESCRICAO]),"")</f>
        <v>10/07 PARECER COEP: EQUIPAMENTO ENTREGUE AOS COCM´S FAVOR INFORMAR PRAZO DE SUBSTUIÇÃO PARA O DMSL E REPASSAR DEPOIS PARA PROTEÇÃO REALIZAR OS AJUSTES E DESCREVER NA SS O SERVIÇO REALIZADOPARECER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v>
      </c>
      <c r="M42" s="5">
        <v>5</v>
      </c>
      <c r="N42" s="5">
        <v>5</v>
      </c>
      <c r="O42" s="5">
        <v>15</v>
      </c>
      <c r="P42" s="5">
        <v>0</v>
      </c>
      <c r="Q42" s="5">
        <v>15</v>
      </c>
      <c r="R42" s="5">
        <v>10</v>
      </c>
      <c r="S42" s="5">
        <v>0</v>
      </c>
      <c r="T42" s="5">
        <v>15</v>
      </c>
      <c r="U42" s="5">
        <f>SUM(Table[[#This Row],[Premissa 1]:[Premissa 8]])</f>
        <v>65</v>
      </c>
      <c r="V42" s="5" t="s">
        <v>13</v>
      </c>
      <c r="W42" t="s">
        <v>195</v>
      </c>
    </row>
    <row r="43" spans="1:23" ht="15" customHeight="1">
      <c r="A43" s="4">
        <v>7953610256</v>
      </c>
      <c r="B43" s="5" t="str">
        <f>MID(Table[[#This Row],[Ativo]],1,2)</f>
        <v>79</v>
      </c>
      <c r="C43" s="5" t="s">
        <v>107</v>
      </c>
      <c r="D43" s="5" t="s">
        <v>108</v>
      </c>
      <c r="E43" s="5" t="s">
        <v>42</v>
      </c>
      <c r="F43" s="4" t="str">
        <f>IFERROR(_xlfn.XLOOKUP(Table[[#This Row],[Ativo]],Pendentes[COD_RELIGADOR],Pendentes[SS_ORIGINAL]),"CONCLUÍDA")</f>
        <v>ETO-RD-PO 00208/2026</v>
      </c>
      <c r="G43" s="5" t="s">
        <v>455</v>
      </c>
      <c r="H43" s="4" t="s">
        <v>961</v>
      </c>
      <c r="J43" s="29" t="s">
        <v>465</v>
      </c>
      <c r="K43" s="31">
        <v>1</v>
      </c>
      <c r="L43" t="str">
        <f>IFERROR(_xlfn.XLOOKUP(Table[[#This Row],[Ativo]],Pendentes[COD_RELIGADOR],Pendentes[DESCRICAO]),"")</f>
        <v>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v>
      </c>
      <c r="M43" s="5">
        <v>5</v>
      </c>
      <c r="N43" s="5">
        <v>5</v>
      </c>
      <c r="O43" s="5">
        <v>15</v>
      </c>
      <c r="P43" s="5">
        <v>15</v>
      </c>
      <c r="Q43" s="5">
        <v>0</v>
      </c>
      <c r="R43" s="5">
        <v>0</v>
      </c>
      <c r="S43" s="5">
        <v>10</v>
      </c>
      <c r="T43" s="5">
        <v>15</v>
      </c>
      <c r="U43" s="5">
        <f>SUM(Table[[#This Row],[Premissa 1]:[Premissa 8]])</f>
        <v>65</v>
      </c>
      <c r="V43" s="5" t="s">
        <v>13</v>
      </c>
      <c r="W43" t="s">
        <v>198</v>
      </c>
    </row>
    <row r="44" spans="1:23" ht="15" customHeight="1">
      <c r="A44" s="4">
        <v>5800438116</v>
      </c>
      <c r="B44" s="5" t="str">
        <f>MID(Table[[#This Row],[Ativo]],1,2)</f>
        <v>58</v>
      </c>
      <c r="C44" s="5" t="s">
        <v>200</v>
      </c>
      <c r="D44" s="5" t="s">
        <v>75</v>
      </c>
      <c r="E44" s="5" t="s">
        <v>76</v>
      </c>
      <c r="F44" s="4" t="str">
        <f>IFERROR(_xlfn.XLOOKUP(Table[[#This Row],[Ativo]],Pendentes[COD_RELIGADOR],Pendentes[SS_ORIGINAL]),"CONCLUÍDA")</f>
        <v>ETO-RD-DP 00404/2026</v>
      </c>
      <c r="G44" s="4" t="s">
        <v>688</v>
      </c>
      <c r="H44" s="4" t="s">
        <v>567</v>
      </c>
      <c r="I44" s="4" t="s">
        <v>443</v>
      </c>
      <c r="J44" s="29" t="s">
        <v>444</v>
      </c>
      <c r="K44" s="31">
        <v>2</v>
      </c>
      <c r="L44" t="str">
        <f>IFERROR(_xlfn.XLOOKUP(Table[[#This Row],[Ativo]],Pendentes[COD_RELIGADOR],Pendentes[DESCRICAO]),"")</f>
        <v>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AJUSTES30/06PARECER COEP: AGUARDANDO COCM'S CRIAREM OBRA PARA ENTREGA DO MATERIALSegue nota para normalizar falha em regulador N:5800438116 - Chapada da natividade .equipamento está com fase B e C travada .OBS: a fase B esta sinalizando falha , equipamento não insere TAP negativo na fase B e C , o mesmo ficou no TAP zerado e bloqueado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C.Foi constatado que a placa F do controle está com defeito.</v>
      </c>
      <c r="M44" s="5">
        <v>0</v>
      </c>
      <c r="N44" s="5">
        <v>20</v>
      </c>
      <c r="O44" s="5">
        <v>20</v>
      </c>
      <c r="P44" s="5">
        <v>20</v>
      </c>
      <c r="Q44" s="5">
        <v>0</v>
      </c>
      <c r="R44" s="5" t="s">
        <v>45</v>
      </c>
      <c r="S44" s="5" t="s">
        <v>45</v>
      </c>
      <c r="T44" s="5" t="s">
        <v>45</v>
      </c>
      <c r="U44" s="5">
        <f>SUM(Table[[#This Row],[Premissa 1]:[Premissa 8]])</f>
        <v>60</v>
      </c>
      <c r="V44" s="5" t="s">
        <v>14</v>
      </c>
      <c r="W44" t="s">
        <v>202</v>
      </c>
    </row>
    <row r="45" spans="1:23" ht="15" customHeight="1">
      <c r="A45" s="4">
        <v>5800090147</v>
      </c>
      <c r="B45" s="5" t="str">
        <f>MID(Table[[#This Row],[Ativo]],1,2)</f>
        <v>58</v>
      </c>
      <c r="C45" s="5" t="s">
        <v>506</v>
      </c>
      <c r="D45" s="5" t="s">
        <v>75</v>
      </c>
      <c r="E45" s="5" t="s">
        <v>76</v>
      </c>
      <c r="F45" s="4" t="str">
        <f>IFERROR(_xlfn.XLOOKUP(Table[[#This Row],[Ativo]],Pendentes[COD_RELIGADOR],Pendentes[SS_ORIGINAL]),"CONCLUÍDA")</f>
        <v>CONCLUÍDA</v>
      </c>
      <c r="I45" s="4" t="s">
        <v>438</v>
      </c>
      <c r="J45" s="29"/>
      <c r="K45" s="31"/>
      <c r="L45" t="str">
        <f>IFERROR(_xlfn.XLOOKUP(Table[[#This Row],[Ativo]],Pendentes[COD_RELIGADOR],Pendentes[DESCRICAO]),"")</f>
        <v/>
      </c>
      <c r="M45" s="5">
        <v>0</v>
      </c>
      <c r="N45" s="5">
        <v>20</v>
      </c>
      <c r="O45" s="5">
        <v>20</v>
      </c>
      <c r="P45" s="5">
        <v>10</v>
      </c>
      <c r="Q45" s="5">
        <v>10</v>
      </c>
      <c r="R45" s="5" t="s">
        <v>45</v>
      </c>
      <c r="S45" s="5" t="s">
        <v>45</v>
      </c>
      <c r="T45" s="5" t="s">
        <v>45</v>
      </c>
      <c r="U45" s="5">
        <f>SUM(Table[[#This Row],[Premissa 1]:[Premissa 8]])</f>
        <v>60</v>
      </c>
      <c r="V45" s="5" t="s">
        <v>14</v>
      </c>
      <c r="W45" t="s">
        <v>507</v>
      </c>
    </row>
    <row r="46" spans="1:23" ht="15" customHeight="1">
      <c r="A46" s="4">
        <v>5840227063</v>
      </c>
      <c r="B46" s="5" t="str">
        <f>MID(Table[[#This Row],[Ativo]],1,2)</f>
        <v>58</v>
      </c>
      <c r="C46" s="5" t="s">
        <v>204</v>
      </c>
      <c r="D46" s="5" t="s">
        <v>154</v>
      </c>
      <c r="E46" s="5" t="s">
        <v>51</v>
      </c>
      <c r="F46" s="4" t="str">
        <f>IFERROR(_xlfn.XLOOKUP(Table[[#This Row],[Ativo]],Pendentes[COD_RELIGADOR],Pendentes[SS_ORIGINAL]),"CONCLUÍDA")</f>
        <v>ETO-COEP 00151/2026</v>
      </c>
      <c r="G46" s="4" t="s">
        <v>451</v>
      </c>
      <c r="I46" s="4" t="s">
        <v>694</v>
      </c>
      <c r="J46" s="29" t="s">
        <v>444</v>
      </c>
      <c r="K46" s="31">
        <v>1</v>
      </c>
      <c r="L46" t="str">
        <f>IFERROR(_xlfn.XLOOKUP(Table[[#This Row],[Ativo]],Pendentes[COD_RELIGADOR],Pendentes[DESCRICAO]),"")</f>
        <v>PARECER DMSL 13/07/2026: Realizados ensaios de isolação nas três células, e foi identificado curto na fase A, sendo necessário a sua substituição. Os cabos das buchas ficaram desconectados para melhor identificação no momento da sua substituiçãSEGUE PARA O DMSL AVALIAR ANTES DE SEGUIRMOS COM O SERVIÇOSEGUE PARA REALIZAR TROCA---------------------------------------------------------Boa noite,Segue SS para tratativas regulador de tensão 5840227063 fase C em curto</v>
      </c>
      <c r="M46" s="5">
        <v>0</v>
      </c>
      <c r="N46" s="5">
        <v>20</v>
      </c>
      <c r="O46" s="5">
        <v>20</v>
      </c>
      <c r="P46" s="5">
        <v>10</v>
      </c>
      <c r="Q46" s="5">
        <v>10</v>
      </c>
      <c r="R46" s="5" t="s">
        <v>45</v>
      </c>
      <c r="S46" s="5" t="s">
        <v>45</v>
      </c>
      <c r="T46" s="5" t="s">
        <v>45</v>
      </c>
      <c r="U46" s="5">
        <f>SUM(Table[[#This Row],[Premissa 1]:[Premissa 8]])</f>
        <v>60</v>
      </c>
      <c r="V46" s="5" t="s">
        <v>14</v>
      </c>
      <c r="W46" t="s">
        <v>207</v>
      </c>
    </row>
    <row r="47" spans="1:23" ht="15" customHeight="1">
      <c r="A47" s="4">
        <v>5846328094</v>
      </c>
      <c r="B47" s="5" t="str">
        <f>MID(Table[[#This Row],[Ativo]],1,2)</f>
        <v>58</v>
      </c>
      <c r="C47" s="5" t="s">
        <v>177</v>
      </c>
      <c r="D47" s="5" t="s">
        <v>177</v>
      </c>
      <c r="E47" s="5" t="s">
        <v>76</v>
      </c>
      <c r="F47" s="4" t="str">
        <f>IFERROR(_xlfn.XLOOKUP(Table[[#This Row],[Ativo]],Pendentes[COD_RELIGADOR],Pendentes[SS_ORIGINAL]),"CONCLUÍDA")</f>
        <v>ETO-TELE 00986/2026</v>
      </c>
      <c r="G47" s="4" t="s">
        <v>482</v>
      </c>
      <c r="I47" s="4" t="s">
        <v>443</v>
      </c>
      <c r="J47" s="29" t="s">
        <v>497</v>
      </c>
      <c r="K47" s="31">
        <v>1</v>
      </c>
      <c r="L47" t="str">
        <f>IFERROR(_xlfn.XLOOKUP(Table[[#This Row],[Ativo]],Pendentes[COD_RELIGADOR],Pendentes[DESCRICAO]),"")</f>
        <v>COCM SUL - 07/07/2026 - FOI REALIZADO MELHORIA DE ATERRAMENTO E FEITO A MANUTENÇÕES E TODAS AS CHAVES E SUBSTITUIDO OS CONECTORES.PARECER COEP: MELHORIA DE ATERRAMENTO É COCM'S, FAVOR ENCAMINHAR DIRETAMENTE PARA ELES, COCM'S REALIZAR MELHORIA DE ATERRAMENTO POR FAVORPor genteliiza verificar RT 5846328094 situação de equipamento, se encontra by passado em campoPARECER DMSL:Favor, realizar melhoria de aterramento que se encontra alta e substituir todos os conectores das buchas por conectores estrangulador.</v>
      </c>
      <c r="M47" s="5">
        <v>0</v>
      </c>
      <c r="N47" s="5">
        <v>20</v>
      </c>
      <c r="O47" s="5">
        <v>20</v>
      </c>
      <c r="P47" s="5">
        <v>10</v>
      </c>
      <c r="Q47" s="5">
        <v>10</v>
      </c>
      <c r="R47" s="5" t="s">
        <v>45</v>
      </c>
      <c r="S47" s="5" t="s">
        <v>45</v>
      </c>
      <c r="T47" s="5" t="s">
        <v>45</v>
      </c>
      <c r="U47" s="5">
        <f>SUM(Table[[#This Row],[Premissa 1]:[Premissa 8]])</f>
        <v>60</v>
      </c>
      <c r="V47" s="5" t="s">
        <v>14</v>
      </c>
      <c r="W47" t="s">
        <v>217</v>
      </c>
    </row>
    <row r="48" spans="1:23" ht="15" customHeight="1">
      <c r="A48" s="4">
        <v>5851753086</v>
      </c>
      <c r="B48" s="5" t="str">
        <f>MID(Table[[#This Row],[Ativo]],1,2)</f>
        <v>58</v>
      </c>
      <c r="C48" s="5" t="s">
        <v>209</v>
      </c>
      <c r="D48" s="5" t="s">
        <v>210</v>
      </c>
      <c r="E48" s="5" t="s">
        <v>42</v>
      </c>
      <c r="F48" s="4" t="str">
        <f>IFERROR(_xlfn.XLOOKUP(Table[[#This Row],[Ativo]],Pendentes[COD_RELIGADOR],Pendentes[SS_ORIGINAL]),"CONCLUÍDA")</f>
        <v>ETO-TELE 00881/2026</v>
      </c>
      <c r="G48" s="4" t="s">
        <v>482</v>
      </c>
      <c r="I48" s="4" t="s">
        <v>443</v>
      </c>
      <c r="J48" s="29" t="s">
        <v>497</v>
      </c>
      <c r="K48" s="31">
        <v>1</v>
      </c>
      <c r="L48" t="str">
        <f>IFERROR(_xlfn.XLOOKUP(Table[[#This Row],[Ativo]],Pendentes[COD_RELIGADOR],Pendentes[DESCRICAO]),"")</f>
        <v>PARECER DMSL: FAVOR SOLUCIONAR PENDENCIAS RT: 5851753086Relé R.U.A  Data: _19/05/2026Sid: 2740/2026Possui rádio?: SimPossui antena?: SimPossui módulo nobreak?: SimServiço Executado: * Feito testes no equipamento,o mesmo está normal.* Será necessário fazer melhorias na malha de terra e colocar em operação.Equipamento ficou em operação? Não Pendência: Sim. É necessário fazer melhorias na malha de aterramento.Bateria(s) substituída(s)? _nao Data Fabricação/Instalação da(s) bateria(s): 12/2025Equipe: Jean e BenvindoPARECER DCMD: FEITO MELHORIA NA MALHA DO ATERRAMENTO, FAVOR ENVIAR EQUIPE PARA COLOCA-LO EM OPERAÇÃORT 5851753086MESMO ESTA BY-PASSADO EM CAMPO EQUIPE SINERGIA 086OP01 ESTEVE NO LOCAL APARENTIMENTE SEM DEFEITO APARENTE MESMO FOI BY PASSADO POR TER TIRADO LINHA.DESDE ENTAO MESMO NAO VOLTOU PARA OPERAÇÃO .FAVOR VERIFICAR PARA TESTES POSSIVEIS .PARA QUE O MESMO VOLTA COM DISPONIBILIDADE PARA OPERAÇÃO .</v>
      </c>
      <c r="M48" s="5">
        <v>0</v>
      </c>
      <c r="N48" s="5">
        <v>20</v>
      </c>
      <c r="O48" s="5">
        <v>20</v>
      </c>
      <c r="P48" s="5">
        <v>10</v>
      </c>
      <c r="Q48" s="5">
        <v>10</v>
      </c>
      <c r="R48" s="5" t="s">
        <v>45</v>
      </c>
      <c r="S48" s="5" t="s">
        <v>45</v>
      </c>
      <c r="T48" s="5" t="s">
        <v>45</v>
      </c>
      <c r="U48" s="5">
        <f>SUM(Table[[#This Row],[Premissa 1]:[Premissa 8]])</f>
        <v>60</v>
      </c>
      <c r="V48" s="5" t="s">
        <v>14</v>
      </c>
      <c r="W48" t="s">
        <v>213</v>
      </c>
    </row>
    <row r="49" spans="1:23" ht="15" customHeight="1">
      <c r="A49" s="4">
        <v>7903112004</v>
      </c>
      <c r="B49" s="5" t="str">
        <f>MID(Table[[#This Row],[Ativo]],1,2)</f>
        <v>79</v>
      </c>
      <c r="C49" s="5" t="s">
        <v>57</v>
      </c>
      <c r="D49" s="5" t="s">
        <v>57</v>
      </c>
      <c r="E49" s="5" t="s">
        <v>51</v>
      </c>
      <c r="F49" s="4" t="str">
        <f>IFERROR(_xlfn.XLOOKUP(Table[[#This Row],[Ativo]],Pendentes[COD_RELIGADOR],Pendentes[SS_ORIGINAL]),"CONCLUÍDA")</f>
        <v>ETO-COEP 00184/2025</v>
      </c>
      <c r="G49" s="4" t="s">
        <v>711</v>
      </c>
      <c r="H49" s="4" t="s">
        <v>712</v>
      </c>
      <c r="I49" s="4" t="s">
        <v>443</v>
      </c>
      <c r="J49" s="29" t="s">
        <v>480</v>
      </c>
      <c r="K49" s="31">
        <v>1</v>
      </c>
      <c r="L49" t="str">
        <f>IFERROR(_xlfn.XLOOKUP(Table[[#This Row],[Ativo]],Pendentes[COD_RELIGADOR],Pendentes[DESCRICAO]),"")</f>
        <v>20/07 PARECER COEP: EQUIPAMENTO SELECIONADO PARA COMPRAApós testes no RLG 7903112004 foi constatado defeito no mesmo e como se trata de um modelo COOPER FORM6 que está obsoleto e não possuímos peças sobressalentes, faz-se necessária substituição completa por modelo NOJA RC10.</v>
      </c>
      <c r="M49" s="5">
        <v>15</v>
      </c>
      <c r="N49" s="5">
        <v>10</v>
      </c>
      <c r="O49" s="5">
        <v>5</v>
      </c>
      <c r="P49" s="5">
        <v>15</v>
      </c>
      <c r="Q49" s="5">
        <v>0</v>
      </c>
      <c r="R49" s="5">
        <v>10</v>
      </c>
      <c r="S49" s="5">
        <v>0</v>
      </c>
      <c r="T49" s="5">
        <v>0</v>
      </c>
      <c r="U49" s="5">
        <f>SUM(Table[[#This Row],[Premissa 1]:[Premissa 8]])</f>
        <v>55</v>
      </c>
      <c r="V49" s="5" t="s">
        <v>13</v>
      </c>
      <c r="W49" t="s">
        <v>220</v>
      </c>
    </row>
    <row r="50" spans="1:23" ht="15" customHeight="1">
      <c r="A50" s="4">
        <v>7920024127</v>
      </c>
      <c r="B50" s="5" t="str">
        <f>MID(Table[[#This Row],[Ativo]],1,2)</f>
        <v>79</v>
      </c>
      <c r="C50" s="5" t="s">
        <v>222</v>
      </c>
      <c r="D50" s="5" t="s">
        <v>223</v>
      </c>
      <c r="E50" s="5" t="s">
        <v>51</v>
      </c>
      <c r="F50" s="4" t="str">
        <f>IFERROR(_xlfn.XLOOKUP(Table[[#This Row],[Ativo]],Pendentes[COD_RELIGADOR],Pendentes[SS_ORIGINAL]),"CONCLUÍDA")</f>
        <v>ETO-COEP 00120/2025</v>
      </c>
      <c r="G50" s="4" t="s">
        <v>451</v>
      </c>
      <c r="I50" s="4" t="s">
        <v>694</v>
      </c>
      <c r="J50" s="29" t="s">
        <v>510</v>
      </c>
      <c r="K50" s="31">
        <v>1</v>
      </c>
      <c r="L50" t="str">
        <f>IFERROR(_xlfn.XLOOKUP(Table[[#This Row],[Ativo]],Pendentes[COD_RELIGADOR],Pendentes[DESCRICAO]),"")</f>
        <v>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v>
      </c>
      <c r="M50" s="5">
        <v>15</v>
      </c>
      <c r="N50" s="5">
        <v>10</v>
      </c>
      <c r="O50" s="5">
        <v>5</v>
      </c>
      <c r="P50" s="5">
        <v>15</v>
      </c>
      <c r="Q50" s="5">
        <v>0</v>
      </c>
      <c r="R50" s="5">
        <v>10</v>
      </c>
      <c r="S50" s="5">
        <v>0</v>
      </c>
      <c r="T50" s="5">
        <v>0</v>
      </c>
      <c r="U50" s="5">
        <f>SUM(Table[[#This Row],[Premissa 1]:[Premissa 8]])</f>
        <v>55</v>
      </c>
      <c r="V50" s="5" t="s">
        <v>13</v>
      </c>
      <c r="W50" t="s">
        <v>226</v>
      </c>
    </row>
    <row r="51" spans="1:23" ht="15" customHeight="1">
      <c r="A51" s="4">
        <v>7927646026</v>
      </c>
      <c r="B51" s="5" t="str">
        <f>MID(Table[[#This Row],[Ativo]],1,2)</f>
        <v>79</v>
      </c>
      <c r="C51" s="5" t="s">
        <v>108</v>
      </c>
      <c r="D51" s="5" t="s">
        <v>108</v>
      </c>
      <c r="E51" s="5" t="s">
        <v>42</v>
      </c>
      <c r="F51" s="4" t="str">
        <f>IFERROR(_xlfn.XLOOKUP(Table[[#This Row],[Ativo]],Pendentes[COD_RELIGADOR],Pendentes[SS_ORIGINAL]),"CONCLUÍDA")</f>
        <v>ETO-COEP 00029/2026</v>
      </c>
      <c r="G51" s="4" t="s">
        <v>451</v>
      </c>
      <c r="I51" s="4" t="s">
        <v>694</v>
      </c>
      <c r="J51" s="29" t="s">
        <v>480</v>
      </c>
      <c r="K51" s="31">
        <v>1</v>
      </c>
      <c r="L51" t="str">
        <f>IFERROR(_xlfn.XLOOKUP(Table[[#This Row],[Ativo]],Pendentes[COD_RELIGADOR],Pendentes[DESCRICAO]),"")</f>
        <v>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v>
      </c>
      <c r="M51" s="5">
        <v>15</v>
      </c>
      <c r="N51" s="5">
        <v>10</v>
      </c>
      <c r="O51" s="5">
        <v>5</v>
      </c>
      <c r="P51" s="5">
        <v>0</v>
      </c>
      <c r="Q51" s="5">
        <v>15</v>
      </c>
      <c r="R51" s="5">
        <v>0</v>
      </c>
      <c r="S51" s="5">
        <v>10</v>
      </c>
      <c r="T51" s="5">
        <v>0</v>
      </c>
      <c r="U51" s="5">
        <f>SUM(Table[[#This Row],[Premissa 1]:[Premissa 8]])</f>
        <v>55</v>
      </c>
      <c r="V51" s="5" t="s">
        <v>13</v>
      </c>
      <c r="W51" t="s">
        <v>229</v>
      </c>
    </row>
    <row r="52" spans="1:23" ht="15" customHeight="1">
      <c r="A52" s="4">
        <v>7927169001</v>
      </c>
      <c r="B52" s="5" t="str">
        <f>MID(Table[[#This Row],[Ativo]],1,2)</f>
        <v>79</v>
      </c>
      <c r="C52" s="5" t="s">
        <v>41</v>
      </c>
      <c r="D52" s="5" t="s">
        <v>41</v>
      </c>
      <c r="E52" s="5" t="s">
        <v>42</v>
      </c>
      <c r="F52" s="4" t="str">
        <f>IFERROR(_xlfn.XLOOKUP(Table[[#This Row],[Ativo]],Pendentes[COD_RELIGADOR],Pendentes[SS_ORIGINAL]),"CONCLUÍDA")</f>
        <v>ETO-PROT 00156/2026</v>
      </c>
      <c r="G52" s="4" t="s">
        <v>471</v>
      </c>
      <c r="H52" s="38"/>
      <c r="I52" s="4" t="s">
        <v>443</v>
      </c>
      <c r="J52" s="29" t="s">
        <v>480</v>
      </c>
      <c r="K52" s="31"/>
      <c r="L52" t="str">
        <f>IFERROR(_xlfn.XLOOKUP(Table[[#This Row],[Ativo]],Pendentes[COD_RELIGADOR],Pendentes[DESCRICAO]),"")</f>
        <v>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 Parecer COCM******Subsituido Tranque do RL pela Ordem de Serviço DLP-MPPA01 247/2026 RELATORIO EM ANEXO DA O.S EXECUTORA</v>
      </c>
      <c r="M52" s="5">
        <v>5</v>
      </c>
      <c r="N52" s="5">
        <v>5</v>
      </c>
      <c r="O52" s="5">
        <v>15</v>
      </c>
      <c r="P52" s="5">
        <v>0</v>
      </c>
      <c r="Q52" s="5">
        <v>15</v>
      </c>
      <c r="R52" s="5">
        <v>0</v>
      </c>
      <c r="S52" s="5">
        <v>0</v>
      </c>
      <c r="T52" s="5">
        <v>15</v>
      </c>
      <c r="U52" s="5">
        <f>SUM(Table[[#This Row],[Premissa 1]:[Premissa 8]])</f>
        <v>55</v>
      </c>
      <c r="V52" s="5" t="s">
        <v>13</v>
      </c>
      <c r="W52" t="s">
        <v>232</v>
      </c>
    </row>
    <row r="53" spans="1:23" ht="15" customHeight="1">
      <c r="A53" s="4">
        <v>7900018004</v>
      </c>
      <c r="B53" s="5" t="str">
        <f>MID(Table[[#This Row],[Ativo]],1,2)</f>
        <v>79</v>
      </c>
      <c r="C53" s="5" t="s">
        <v>57</v>
      </c>
      <c r="D53" s="5" t="s">
        <v>57</v>
      </c>
      <c r="E53" s="5" t="s">
        <v>51</v>
      </c>
      <c r="F53" s="4" t="str">
        <f>IFERROR(_xlfn.XLOOKUP(Table[[#This Row],[Ativo]],Pendentes[COD_RELIGADOR],Pendentes[SS_ORIGINAL]),"CONCLUÍDA")</f>
        <v>CONCLUÍDA</v>
      </c>
      <c r="I53" s="4" t="s">
        <v>438</v>
      </c>
      <c r="J53" s="29"/>
      <c r="K53" s="31"/>
      <c r="L53" t="str">
        <f>IFERROR(_xlfn.XLOOKUP(Table[[#This Row],[Ativo]],Pendentes[COD_RELIGADOR],Pendentes[DESCRICAO]),"")</f>
        <v/>
      </c>
      <c r="M53" s="5">
        <v>15</v>
      </c>
      <c r="N53" s="5">
        <v>10</v>
      </c>
      <c r="O53" s="5">
        <v>5</v>
      </c>
      <c r="P53" s="5">
        <v>15</v>
      </c>
      <c r="Q53" s="5">
        <v>0</v>
      </c>
      <c r="R53" s="5">
        <v>10</v>
      </c>
      <c r="S53" s="5">
        <v>0</v>
      </c>
      <c r="T53" s="5">
        <v>0</v>
      </c>
      <c r="U53" s="5">
        <f>SUM(Table[[#This Row],[Premissa 1]:[Premissa 8]])</f>
        <v>55</v>
      </c>
      <c r="V53" s="5" t="s">
        <v>13</v>
      </c>
      <c r="W53" t="s">
        <v>511</v>
      </c>
    </row>
    <row r="54" spans="1:23" ht="15" customHeight="1">
      <c r="A54" s="4">
        <v>7934698002</v>
      </c>
      <c r="B54" s="5" t="str">
        <f>MID(Table[[#This Row],[Ativo]],1,2)</f>
        <v>79</v>
      </c>
      <c r="C54" s="5" t="s">
        <v>223</v>
      </c>
      <c r="D54" s="5" t="s">
        <v>223</v>
      </c>
      <c r="E54" s="5" t="s">
        <v>51</v>
      </c>
      <c r="F54" s="4" t="str">
        <f>IFERROR(_xlfn.XLOOKUP(Table[[#This Row],[Ativo]],Pendentes[COD_RELIGADOR],Pendentes[SS_ORIGINAL]),"CONCLUÍDA")</f>
        <v>CONCLUÍDA</v>
      </c>
      <c r="I54" s="4" t="s">
        <v>438</v>
      </c>
      <c r="J54" s="29"/>
      <c r="K54" s="31"/>
      <c r="L54" t="str">
        <f>IFERROR(_xlfn.XLOOKUP(Table[[#This Row],[Ativo]],Pendentes[COD_RELIGADOR],Pendentes[DESCRICAO]),"")</f>
        <v/>
      </c>
      <c r="M54" s="5">
        <v>5</v>
      </c>
      <c r="N54" s="5">
        <v>5</v>
      </c>
      <c r="O54" s="5">
        <v>5</v>
      </c>
      <c r="P54" s="5">
        <v>0</v>
      </c>
      <c r="Q54" s="5">
        <v>15</v>
      </c>
      <c r="R54" s="5">
        <v>0</v>
      </c>
      <c r="S54" s="5">
        <v>10</v>
      </c>
      <c r="T54" s="5">
        <v>15</v>
      </c>
      <c r="U54" s="5">
        <f>SUM(Table[[#This Row],[Premissa 1]:[Premissa 8]])</f>
        <v>55</v>
      </c>
      <c r="V54" s="5" t="s">
        <v>13</v>
      </c>
      <c r="W54" t="s">
        <v>512</v>
      </c>
    </row>
    <row r="55" spans="1:23" ht="15" customHeight="1">
      <c r="A55" s="4">
        <v>7930428001</v>
      </c>
      <c r="B55" s="5" t="str">
        <f>MID(Table[[#This Row],[Ativo]],1,2)</f>
        <v>79</v>
      </c>
      <c r="C55" s="5" t="s">
        <v>41</v>
      </c>
      <c r="D55" s="5" t="s">
        <v>41</v>
      </c>
      <c r="E55" s="5" t="s">
        <v>42</v>
      </c>
      <c r="F55" s="4" t="str">
        <f>IFERROR(_xlfn.XLOOKUP(Table[[#This Row],[Ativo]],Pendentes[COD_RELIGADOR],Pendentes[SS_ORIGINAL]),"CONCLUÍDA")</f>
        <v>ETO-COEP 00150/2026</v>
      </c>
      <c r="G55" s="4" t="s">
        <v>451</v>
      </c>
      <c r="I55" s="4" t="s">
        <v>694</v>
      </c>
      <c r="J55" s="29" t="s">
        <v>480</v>
      </c>
      <c r="K55" s="31">
        <v>1</v>
      </c>
      <c r="L55" t="str">
        <f>IFERROR(_xlfn.XLOOKUP(Table[[#This Row],[Ativo]],Pendentes[COD_RELIGADOR],Pendentes[DESCRICAO]),"")</f>
        <v>PARECER DMSL DATA 16/07/2026: será necessário fazer a substituição da parte ativa do equipamento.PARECER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v>
      </c>
      <c r="M55" s="5">
        <v>5</v>
      </c>
      <c r="N55" s="5">
        <v>5</v>
      </c>
      <c r="O55" s="5">
        <v>15</v>
      </c>
      <c r="P55" s="5">
        <v>0</v>
      </c>
      <c r="Q55" s="5">
        <v>15</v>
      </c>
      <c r="R55" s="5">
        <v>10</v>
      </c>
      <c r="S55" s="5">
        <v>0</v>
      </c>
      <c r="T55" s="5">
        <v>0</v>
      </c>
      <c r="U55" s="5">
        <f>SUM(Table[[#This Row],[Premissa 1]:[Premissa 8]])</f>
        <v>50</v>
      </c>
      <c r="V55" s="5" t="s">
        <v>13</v>
      </c>
      <c r="W55" t="s">
        <v>241</v>
      </c>
    </row>
    <row r="56" spans="1:23" ht="15" customHeight="1">
      <c r="A56" s="43">
        <v>7936038076</v>
      </c>
      <c r="B56" s="5" t="str">
        <f>MID(Table[[#This Row],[Ativo]],1,2)</f>
        <v>79</v>
      </c>
      <c r="C56" s="5" t="s">
        <v>335</v>
      </c>
      <c r="D56" s="5" t="s">
        <v>336</v>
      </c>
      <c r="E56" s="5" t="s">
        <v>76</v>
      </c>
      <c r="F56" s="4" t="str">
        <f>IFERROR(_xlfn.XLOOKUP(Table[[#This Row],[Ativo]],Pendentes[COD_RELIGADOR],Pendentes[SS_ORIGINAL]),"CONCLUÍDA")</f>
        <v>CONCLUÍDA</v>
      </c>
      <c r="G56" s="11" t="s">
        <v>451</v>
      </c>
      <c r="H56" s="4" t="s">
        <v>716</v>
      </c>
      <c r="I56" s="4" t="s">
        <v>694</v>
      </c>
      <c r="J56" s="29"/>
      <c r="K56" s="31"/>
      <c r="L56" t="str">
        <f>IFERROR(_xlfn.XLOOKUP(Table[[#This Row],[Ativo]],Pendentes[COD_RELIGADOR],Pendentes[DESCRICAO]),"")</f>
        <v/>
      </c>
      <c r="M56" s="5">
        <v>5</v>
      </c>
      <c r="N56" s="5">
        <v>5</v>
      </c>
      <c r="O56" s="5">
        <v>15</v>
      </c>
      <c r="P56" s="5">
        <v>0</v>
      </c>
      <c r="Q56" s="5">
        <v>15</v>
      </c>
      <c r="R56" s="5">
        <v>10</v>
      </c>
      <c r="S56" s="5">
        <v>0</v>
      </c>
      <c r="T56" s="5">
        <v>0</v>
      </c>
      <c r="U56" s="5">
        <f>SUM(Table[[#This Row],[Premissa 1]:[Premissa 8]])</f>
        <v>50</v>
      </c>
      <c r="V56" s="5" t="s">
        <v>13</v>
      </c>
      <c r="W56" t="s">
        <v>513</v>
      </c>
    </row>
    <row r="57" spans="1:23" ht="15" customHeight="1">
      <c r="A57" s="12">
        <v>7955520116</v>
      </c>
      <c r="B57" s="5" t="str">
        <f>MID(Table[[#This Row],[Ativo]],1,2)</f>
        <v>79</v>
      </c>
      <c r="C57" s="5" t="s">
        <v>200</v>
      </c>
      <c r="D57" s="5" t="s">
        <v>75</v>
      </c>
      <c r="E57" s="5" t="s">
        <v>76</v>
      </c>
      <c r="F57" s="4" t="str">
        <f>IFERROR(_xlfn.XLOOKUP(Table[[#This Row],[Ativo]],Pendentes[COD_RELIGADOR],Pendentes[SS_ORIGINAL]),"CONCLUÍDA")</f>
        <v>CONCLUÍDA</v>
      </c>
      <c r="G57" s="11" t="s">
        <v>451</v>
      </c>
      <c r="H57" s="4" t="s">
        <v>716</v>
      </c>
      <c r="I57" s="4" t="s">
        <v>694</v>
      </c>
      <c r="J57" s="29" t="s">
        <v>480</v>
      </c>
      <c r="K57" s="31">
        <v>1</v>
      </c>
      <c r="L57" t="str">
        <f>IFERROR(_xlfn.XLOOKUP(Table[[#This Row],[Ativo]],Pendentes[COD_RELIGADOR],Pendentes[DESCRICAO]),"")</f>
        <v/>
      </c>
      <c r="M57" s="5">
        <v>5</v>
      </c>
      <c r="N57" s="5">
        <v>5</v>
      </c>
      <c r="O57" s="5">
        <v>15</v>
      </c>
      <c r="P57" s="5">
        <v>0</v>
      </c>
      <c r="Q57" s="5">
        <v>0</v>
      </c>
      <c r="R57" s="5">
        <v>10</v>
      </c>
      <c r="S57" s="5">
        <v>0</v>
      </c>
      <c r="T57" s="5">
        <v>15</v>
      </c>
      <c r="U57" s="5">
        <f>SUM(Table[[#This Row],[Premissa 1]:[Premissa 8]])</f>
        <v>50</v>
      </c>
      <c r="V57" s="5" t="s">
        <v>13</v>
      </c>
      <c r="W57" t="s">
        <v>515</v>
      </c>
    </row>
    <row r="58" spans="1:23" ht="15" customHeight="1">
      <c r="A58" s="4">
        <v>5800291035</v>
      </c>
      <c r="B58" s="5" t="str">
        <f>MID(Table[[#This Row],[Ativo]],1,2)</f>
        <v>58</v>
      </c>
      <c r="C58" s="5" t="s">
        <v>234</v>
      </c>
      <c r="D58" s="5" t="s">
        <v>108</v>
      </c>
      <c r="E58" s="5" t="s">
        <v>42</v>
      </c>
      <c r="F58" s="4" t="str">
        <f>IFERROR(_xlfn.XLOOKUP(Table[[#This Row],[Ativo]],Pendentes[COD_RELIGADOR],Pendentes[SS_ORIGINAL]),"CONCLUÍDA")</f>
        <v>ETO-RD-PO 00097/2026</v>
      </c>
      <c r="G58" s="11" t="s">
        <v>482</v>
      </c>
      <c r="H58" s="9"/>
      <c r="I58" s="4" t="s">
        <v>443</v>
      </c>
      <c r="J58" s="29" t="s">
        <v>497</v>
      </c>
      <c r="K58" s="31">
        <v>1</v>
      </c>
      <c r="L58" t="s">
        <v>236</v>
      </c>
      <c r="M58" s="5">
        <v>0</v>
      </c>
      <c r="N58" s="5">
        <v>20</v>
      </c>
      <c r="O58" s="5">
        <v>20</v>
      </c>
      <c r="P58" s="5">
        <v>10</v>
      </c>
      <c r="Q58" s="5">
        <v>0</v>
      </c>
      <c r="R58" s="5" t="s">
        <v>45</v>
      </c>
      <c r="S58" s="5" t="s">
        <v>45</v>
      </c>
      <c r="T58" s="5" t="s">
        <v>45</v>
      </c>
      <c r="U58" s="5">
        <f>SUM(Table[[#This Row],[Premissa 1]:[Premissa 8]])</f>
        <v>50</v>
      </c>
      <c r="V58" s="5" t="s">
        <v>14</v>
      </c>
      <c r="W58" t="s">
        <v>237</v>
      </c>
    </row>
    <row r="59" spans="1:23" ht="15" customHeight="1">
      <c r="A59" s="4">
        <v>5827102054</v>
      </c>
      <c r="B59" s="5" t="str">
        <f>MID(Table[[#This Row],[Ativo]],1,2)</f>
        <v>58</v>
      </c>
      <c r="C59" s="5" t="s">
        <v>243</v>
      </c>
      <c r="D59" s="5" t="s">
        <v>97</v>
      </c>
      <c r="E59" s="5" t="s">
        <v>42</v>
      </c>
      <c r="F59" s="4" t="str">
        <f>IFERROR(_xlfn.XLOOKUP(Table[[#This Row],[Ativo]],Pendentes[COD_RELIGADOR],Pendentes[SS_ORIGINAL]),"CONCLUÍDA")</f>
        <v>ETO-RD-PS 00289/2026</v>
      </c>
      <c r="G59" s="11" t="s">
        <v>482</v>
      </c>
      <c r="H59" s="9" t="s">
        <v>697</v>
      </c>
      <c r="J59" s="29" t="s">
        <v>497</v>
      </c>
      <c r="K59" s="31">
        <v>1</v>
      </c>
      <c r="L59" t="str">
        <f>IFERROR(_xlfn.XLOOKUP(Table[[#This Row],[Ativo]],Pendentes[COD_RELIGADOR],Pendentes[DESCRICAO]),"")</f>
        <v>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v>
      </c>
      <c r="M59" s="5">
        <v>0</v>
      </c>
      <c r="N59" s="5">
        <v>20</v>
      </c>
      <c r="O59" s="5">
        <v>20</v>
      </c>
      <c r="P59" s="5">
        <v>10</v>
      </c>
      <c r="Q59" s="5">
        <v>0</v>
      </c>
      <c r="R59" s="5" t="s">
        <v>45</v>
      </c>
      <c r="S59" s="5" t="s">
        <v>45</v>
      </c>
      <c r="T59" s="5" t="s">
        <v>45</v>
      </c>
      <c r="U59" s="5">
        <f>SUM(Table[[#This Row],[Premissa 1]:[Premissa 8]])</f>
        <v>50</v>
      </c>
      <c r="V59" s="5" t="s">
        <v>14</v>
      </c>
      <c r="W59" t="s">
        <v>246</v>
      </c>
    </row>
    <row r="60" spans="1:23" ht="15" customHeight="1">
      <c r="A60" s="4">
        <v>5850308009</v>
      </c>
      <c r="B60" s="5" t="str">
        <f>MID(Table[[#This Row],[Ativo]],1,2)</f>
        <v>58</v>
      </c>
      <c r="C60" s="5" t="s">
        <v>50</v>
      </c>
      <c r="D60" s="5" t="s">
        <v>50</v>
      </c>
      <c r="E60" s="5" t="s">
        <v>51</v>
      </c>
      <c r="F60" s="4" t="str">
        <f>IFERROR(_xlfn.XLOOKUP(Table[[#This Row],[Ativo]],Pendentes[COD_RELIGADOR],Pendentes[SS_ORIGINAL]),"CONCLUÍDA")</f>
        <v>CONCLUÍDA</v>
      </c>
      <c r="G60" s="11"/>
      <c r="H60" s="9"/>
      <c r="I60" s="4" t="s">
        <v>438</v>
      </c>
      <c r="J60" s="29"/>
      <c r="K60" s="31"/>
      <c r="L60" t="str">
        <f>IFERROR(_xlfn.XLOOKUP(Table[[#This Row],[Ativo]],Pendentes[COD_RELIGADOR],Pendentes[DESCRICAO]),"")</f>
        <v/>
      </c>
      <c r="M60" s="5">
        <v>0</v>
      </c>
      <c r="N60" s="5">
        <v>20</v>
      </c>
      <c r="O60" s="5">
        <v>20</v>
      </c>
      <c r="P60" s="5">
        <v>0</v>
      </c>
      <c r="Q60" s="5">
        <v>10</v>
      </c>
      <c r="R60" s="5" t="s">
        <v>45</v>
      </c>
      <c r="S60" s="5" t="s">
        <v>45</v>
      </c>
      <c r="T60" s="5" t="s">
        <v>45</v>
      </c>
      <c r="U60" s="5">
        <f>SUM(Table[[#This Row],[Premissa 1]:[Premissa 8]])</f>
        <v>50</v>
      </c>
      <c r="V60" s="5" t="s">
        <v>14</v>
      </c>
      <c r="W60" t="s">
        <v>517</v>
      </c>
    </row>
    <row r="61" spans="1:23" ht="15" customHeight="1">
      <c r="A61" s="4">
        <v>7900535058</v>
      </c>
      <c r="B61" s="5" t="str">
        <f>MID(Table[[#This Row],[Ativo]],1,2)</f>
        <v>79</v>
      </c>
      <c r="C61" s="5" t="s">
        <v>248</v>
      </c>
      <c r="D61" s="5" t="s">
        <v>57</v>
      </c>
      <c r="E61" s="5" t="s">
        <v>51</v>
      </c>
      <c r="F61" s="4" t="str">
        <f>IFERROR(_xlfn.XLOOKUP(Table[[#This Row],[Ativo]],Pendentes[COD_RELIGADOR],Pendentes[SS_ORIGINAL]),"CONCLUÍDA")</f>
        <v>ETO-COEP 00173/2025</v>
      </c>
      <c r="G61" s="11" t="s">
        <v>451</v>
      </c>
      <c r="H61" s="9"/>
      <c r="I61" s="4" t="s">
        <v>694</v>
      </c>
      <c r="J61" s="29" t="s">
        <v>460</v>
      </c>
      <c r="K61" s="31">
        <v>1</v>
      </c>
      <c r="L61" t="str">
        <f>IFERROR(_xlfn.XLOOKUP(Table[[#This Row],[Ativo]],Pendentes[COD_RELIGADOR],Pendentes[DESCRICAO]),"")</f>
        <v>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v>
      </c>
      <c r="M61" s="5">
        <v>5</v>
      </c>
      <c r="N61" s="5">
        <v>10</v>
      </c>
      <c r="O61" s="5">
        <v>5</v>
      </c>
      <c r="P61" s="5">
        <v>0</v>
      </c>
      <c r="Q61" s="5">
        <v>15</v>
      </c>
      <c r="R61" s="5">
        <v>10</v>
      </c>
      <c r="S61" s="5">
        <v>0</v>
      </c>
      <c r="T61" s="5">
        <v>0</v>
      </c>
      <c r="U61" s="5">
        <f>SUM(Table[[#This Row],[Premissa 1]:[Premissa 8]])</f>
        <v>45</v>
      </c>
      <c r="V61" s="5" t="s">
        <v>14</v>
      </c>
      <c r="W61" t="s">
        <v>251</v>
      </c>
    </row>
    <row r="62" spans="1:23" ht="15" customHeight="1">
      <c r="A62" s="4">
        <v>7927713200</v>
      </c>
      <c r="B62" s="5" t="str">
        <f>MID(Table[[#This Row],[Ativo]],1,2)</f>
        <v>79</v>
      </c>
      <c r="C62" s="5" t="s">
        <v>327</v>
      </c>
      <c r="D62" s="5" t="s">
        <v>177</v>
      </c>
      <c r="E62" s="5" t="s">
        <v>76</v>
      </c>
      <c r="F62" s="4" t="str">
        <f>IFERROR(_xlfn.XLOOKUP(Table[[#This Row],[Ativo]],Pendentes[COD_RELIGADOR],Pendentes[SS_ORIGINAL]),"CONCLUÍDA")</f>
        <v>CONCLUÍDA</v>
      </c>
      <c r="G62" s="11" t="s">
        <v>451</v>
      </c>
      <c r="H62" s="4" t="s">
        <v>716</v>
      </c>
      <c r="I62" s="4" t="s">
        <v>694</v>
      </c>
      <c r="J62" s="29" t="s">
        <v>480</v>
      </c>
      <c r="K62" s="31">
        <v>1</v>
      </c>
      <c r="L62" t="str">
        <f>IFERROR(_xlfn.XLOOKUP(Table[[#This Row],[Ativo]],Pendentes[COD_RELIGADOR],Pendentes[DESCRICAO]),"")</f>
        <v/>
      </c>
      <c r="M62" s="5">
        <v>5</v>
      </c>
      <c r="N62" s="5">
        <v>5</v>
      </c>
      <c r="O62" s="5">
        <v>5</v>
      </c>
      <c r="P62" s="5">
        <v>0</v>
      </c>
      <c r="Q62" s="5">
        <v>15</v>
      </c>
      <c r="R62" s="5">
        <v>10</v>
      </c>
      <c r="S62" s="5">
        <v>0</v>
      </c>
      <c r="T62" s="5">
        <v>0</v>
      </c>
      <c r="U62" s="5">
        <f>SUM(Table[[#This Row],[Premissa 1]:[Premissa 8]])</f>
        <v>40</v>
      </c>
      <c r="V62" s="5" t="s">
        <v>14</v>
      </c>
      <c r="W62" t="s">
        <v>518</v>
      </c>
    </row>
    <row r="63" spans="1:23" ht="15" customHeight="1">
      <c r="A63" s="4">
        <v>7937102148</v>
      </c>
      <c r="B63" s="5" t="str">
        <f>MID(Table[[#This Row],[Ativo]],1,2)</f>
        <v>79</v>
      </c>
      <c r="C63" s="5" t="s">
        <v>262</v>
      </c>
      <c r="D63" s="5" t="s">
        <v>177</v>
      </c>
      <c r="E63" s="5" t="s">
        <v>76</v>
      </c>
      <c r="F63" s="4" t="str">
        <f>IFERROR(_xlfn.XLOOKUP(Table[[#This Row],[Ativo]],Pendentes[COD_RELIGADOR],Pendentes[SS_ORIGINAL]),"CONCLUÍDA")</f>
        <v>ETO-COEP 00129/2026</v>
      </c>
      <c r="G63" s="4" t="s">
        <v>451</v>
      </c>
      <c r="I63" s="4" t="s">
        <v>694</v>
      </c>
      <c r="J63" s="29" t="s">
        <v>480</v>
      </c>
      <c r="K63" s="31">
        <v>1</v>
      </c>
      <c r="L63" t="str">
        <f>IFERROR(_xlfn.XLOOKUP(Table[[#This Row],[Ativo]],Pendentes[COD_RELIGADOR],Pendentes[DESCRICAO]),"")</f>
        <v>PARECER COEP: REAVALIAR DISPONIBILIDADE DO EQUIPAMENTO NO SCADA ASSIM COMO , FORNECER MODELO DO EQUIPAMENTO E FAIXA DE TENSÃO PARA COMPRA / AQUISIÇÃOTanque com defeito, realizar substituição do tanque.</v>
      </c>
      <c r="M63" s="5">
        <v>5</v>
      </c>
      <c r="N63" s="5">
        <v>5</v>
      </c>
      <c r="O63" s="5">
        <v>5</v>
      </c>
      <c r="P63" s="5">
        <v>0</v>
      </c>
      <c r="Q63" s="5">
        <v>15</v>
      </c>
      <c r="R63" s="5">
        <v>10</v>
      </c>
      <c r="S63" s="5">
        <v>0</v>
      </c>
      <c r="T63" s="5">
        <v>0</v>
      </c>
      <c r="U63" s="5">
        <f>SUM(Table[[#This Row],[Premissa 1]:[Premissa 8]])</f>
        <v>40</v>
      </c>
      <c r="V63" s="5" t="s">
        <v>14</v>
      </c>
      <c r="W63" t="s">
        <v>265</v>
      </c>
    </row>
    <row r="64" spans="1:23" ht="15" customHeight="1">
      <c r="A64" s="4">
        <v>7944559149</v>
      </c>
      <c r="B64" s="5" t="str">
        <f>MID(Table[[#This Row],[Ativo]],1,2)</f>
        <v>79</v>
      </c>
      <c r="C64" s="5" t="s">
        <v>257</v>
      </c>
      <c r="D64" s="5" t="s">
        <v>210</v>
      </c>
      <c r="E64" s="5" t="s">
        <v>42</v>
      </c>
      <c r="F64" s="4" t="str">
        <f>IFERROR(_xlfn.XLOOKUP(Table[[#This Row],[Ativo]],Pendentes[COD_RELIGADOR],Pendentes[SS_ORIGINAL]),"CONCLUÍDA")</f>
        <v>ETO-COEP 00063/2026</v>
      </c>
      <c r="G64" s="4" t="s">
        <v>451</v>
      </c>
      <c r="I64" s="4" t="s">
        <v>694</v>
      </c>
      <c r="J64" s="29" t="s">
        <v>460</v>
      </c>
      <c r="K64" s="31">
        <v>1</v>
      </c>
      <c r="L64" t="str">
        <f>IFERROR(_xlfn.XLOOKUP(Table[[#This Row],[Ativo]],Pendentes[COD_RELIGADOR],Pendentes[DESCRICAO]),"")</f>
        <v>14/07/2026 PARECER COEP: EQUIPAMENTO SELECIONADO PARA COMPRA Equipamento ficou em operação?: NãoPendência: Sim será necessário substituir a placaServiço Executado:  curto na placa foi tentando recuperar a mesma porém não teve sucesso!Bateria(s)substituída(s)? NÃOEquipe: Kaique e benvido</v>
      </c>
      <c r="M64" s="5">
        <v>5</v>
      </c>
      <c r="N64" s="5">
        <v>10</v>
      </c>
      <c r="O64" s="5">
        <v>0</v>
      </c>
      <c r="P64" s="5">
        <v>0</v>
      </c>
      <c r="Q64" s="5">
        <v>15</v>
      </c>
      <c r="R64" s="5">
        <v>10</v>
      </c>
      <c r="S64" s="5">
        <v>0</v>
      </c>
      <c r="T64" s="5">
        <v>0</v>
      </c>
      <c r="U64" s="5">
        <f>SUM(Table[[#This Row],[Premissa 1]:[Premissa 8]])</f>
        <v>40</v>
      </c>
      <c r="V64" s="5" t="s">
        <v>14</v>
      </c>
      <c r="W64" t="s">
        <v>728</v>
      </c>
    </row>
    <row r="65" spans="1:23" ht="34.5" customHeight="1">
      <c r="A65" s="4">
        <v>5800961074</v>
      </c>
      <c r="B65" s="5" t="str">
        <f>MID(Table[[#This Row],[Ativo]],1,2)</f>
        <v>58</v>
      </c>
      <c r="C65" s="5" t="s">
        <v>75</v>
      </c>
      <c r="D65" s="5" t="s">
        <v>75</v>
      </c>
      <c r="E65" s="5" t="s">
        <v>76</v>
      </c>
      <c r="F65" s="4" t="str">
        <f>IFERROR(_xlfn.XLOOKUP(Table[[#This Row],[Ativo]],Pendentes[COD_RELIGADOR],Pendentes[SS_ORIGINAL]),"CONCLUÍDA")</f>
        <v>ETO-COEP 00221/2025</v>
      </c>
      <c r="G65" s="4" t="s">
        <v>692</v>
      </c>
      <c r="H65" s="50" t="s">
        <v>693</v>
      </c>
      <c r="I65" s="4" t="s">
        <v>694</v>
      </c>
      <c r="J65" s="29" t="s">
        <v>521</v>
      </c>
      <c r="K65" s="31">
        <v>3</v>
      </c>
      <c r="L65" t="str">
        <f>IFERROR(_xlfn.XLOOKUP(Table[[#This Row],[Ativo]],Pendentes[COD_RELIGADOR],Pendentes[DESCRICAO]),"")</f>
        <v>PARECER COEP: EQUIPAMENTO SELECIONADO PARA COMPRASubstituir as 3 células- Melhoria na malha de aterramento - Melhoria no circuito de aterramento qua aterra as células.- Substituir conectores paralelos</v>
      </c>
      <c r="M65" s="5">
        <v>20</v>
      </c>
      <c r="N65" s="5">
        <v>0</v>
      </c>
      <c r="O65" s="5">
        <v>0</v>
      </c>
      <c r="P65" s="5">
        <v>20</v>
      </c>
      <c r="Q65" s="5">
        <v>0</v>
      </c>
      <c r="R65" s="5" t="s">
        <v>45</v>
      </c>
      <c r="S65" s="5" t="s">
        <v>45</v>
      </c>
      <c r="T65" s="5" t="s">
        <v>45</v>
      </c>
      <c r="U65" s="5">
        <f>SUM(Table[[#This Row],[Premissa 1]:[Premissa 8]])</f>
        <v>40</v>
      </c>
      <c r="V65" s="5" t="s">
        <v>14</v>
      </c>
      <c r="W65" t="s">
        <v>255</v>
      </c>
    </row>
    <row r="66" spans="1:23" ht="15" customHeight="1">
      <c r="A66" s="4">
        <v>7908249152</v>
      </c>
      <c r="B66" s="5" t="str">
        <f>MID(Table[[#This Row],[Ativo]],1,2)</f>
        <v>79</v>
      </c>
      <c r="C66" s="5" t="s">
        <v>291</v>
      </c>
      <c r="D66" s="5" t="s">
        <v>41</v>
      </c>
      <c r="E66" s="5" t="s">
        <v>42</v>
      </c>
      <c r="F66" s="4" t="str">
        <f>IFERROR(_xlfn.XLOOKUP(Table[[#This Row],[Ativo]],Pendentes[COD_RELIGADOR],Pendentes[SS_ORIGINAL]),"CONCLUÍDA")</f>
        <v>ETO-COEP 00038/2026</v>
      </c>
      <c r="G66" s="4" t="s">
        <v>451</v>
      </c>
      <c r="I66" s="4" t="s">
        <v>694</v>
      </c>
      <c r="J66" s="29" t="s">
        <v>469</v>
      </c>
      <c r="K66" s="31">
        <v>1</v>
      </c>
      <c r="L66" t="str">
        <f>IFERROR(_xlfn.XLOOKUP(Table[[#This Row],[Ativo]],Pendentes[COD_RELIGADOR],Pendentes[DESCRICAO]),"")</f>
        <v>14/07/2026 PARECER COEP: EQUIPAMENTO SELECIONADO PARA COMPRADMSL:Serviço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v>
      </c>
      <c r="M66" s="5">
        <v>5</v>
      </c>
      <c r="N66" s="5">
        <v>5</v>
      </c>
      <c r="O66" s="5">
        <v>0</v>
      </c>
      <c r="P66" s="5">
        <v>0</v>
      </c>
      <c r="Q66" s="5">
        <v>15</v>
      </c>
      <c r="R66" s="5">
        <v>10</v>
      </c>
      <c r="S66" s="5">
        <v>0</v>
      </c>
      <c r="T66" s="5">
        <v>0</v>
      </c>
      <c r="U66" s="5">
        <f>SUM(Table[[#This Row],[Premissa 1]:[Premissa 8]])</f>
        <v>35</v>
      </c>
      <c r="V66" s="5" t="s">
        <v>14</v>
      </c>
      <c r="W66" t="s">
        <v>293</v>
      </c>
    </row>
    <row r="67" spans="1:23" ht="15" customHeight="1">
      <c r="A67" s="12">
        <v>7922995039</v>
      </c>
      <c r="B67" s="5" t="str">
        <f>MID(Table[[#This Row],[Ativo]],1,2)</f>
        <v>79</v>
      </c>
      <c r="C67" s="5" t="s">
        <v>267</v>
      </c>
      <c r="D67" s="5" t="s">
        <v>132</v>
      </c>
      <c r="E67" s="5" t="s">
        <v>51</v>
      </c>
      <c r="F67" s="4" t="str">
        <f>IFERROR(_xlfn.XLOOKUP(Table[[#This Row],[Ativo]],Pendentes[COD_RELIGADOR],Pendentes[SS_ORIGINAL]),"CONCLUÍDA")</f>
        <v>ETO-PROT 00135/2026</v>
      </c>
      <c r="I67" s="4" t="s">
        <v>522</v>
      </c>
      <c r="J67" s="29"/>
      <c r="K67" s="31"/>
      <c r="L67" t="str">
        <f>IFERROR(_xlfn.XLOOKUP(Table[[#This Row],[Ativo]],Pendentes[COD_RELIGADOR],Pendentes[DESCRICAO]),"")</f>
        <v>PARECER COEP: Equipamento em operação, instalado com sucesso, segue para Proteção para ajustesPARECER DMSL: Após testes, equipe DMSL constatou que o RLG 7922995039 encontra-se com parte ativa e controle danificados. Favor, realizar substituição completa do equipamento.Troca do sistema de comunicação do equipamento</v>
      </c>
      <c r="M67" s="5">
        <v>5</v>
      </c>
      <c r="N67" s="5">
        <v>5</v>
      </c>
      <c r="O67" s="5">
        <v>0</v>
      </c>
      <c r="P67" s="5">
        <v>0</v>
      </c>
      <c r="Q67" s="5">
        <v>15</v>
      </c>
      <c r="R67" s="5">
        <v>10</v>
      </c>
      <c r="S67" s="5">
        <v>0</v>
      </c>
      <c r="T67" s="5">
        <v>0</v>
      </c>
      <c r="U67" s="5">
        <f>SUM(Table[[#This Row],[Premissa 1]:[Premissa 8]])</f>
        <v>35</v>
      </c>
      <c r="V67" s="5" t="s">
        <v>14</v>
      </c>
      <c r="W67" t="s">
        <v>270</v>
      </c>
    </row>
    <row r="68" spans="1:23" ht="15" customHeight="1">
      <c r="A68" s="4">
        <v>7925733015</v>
      </c>
      <c r="B68" s="5" t="str">
        <f>MID(Table[[#This Row],[Ativo]],1,2)</f>
        <v>79</v>
      </c>
      <c r="C68" s="5" t="s">
        <v>283</v>
      </c>
      <c r="D68" s="5" t="s">
        <v>50</v>
      </c>
      <c r="E68" s="5" t="s">
        <v>51</v>
      </c>
      <c r="F68" s="4" t="str">
        <f>IFERROR(_xlfn.XLOOKUP(Table[[#This Row],[Ativo]],Pendentes[COD_RELIGADOR],Pendentes[SS_ORIGINAL]),"CONCLUÍDA")</f>
        <v>ETO-COEP 00058/2026</v>
      </c>
      <c r="G68" s="4" t="s">
        <v>451</v>
      </c>
      <c r="I68" s="4" t="s">
        <v>694</v>
      </c>
      <c r="J68" s="29" t="s">
        <v>480</v>
      </c>
      <c r="K68" s="31">
        <v>1</v>
      </c>
      <c r="L68" t="str">
        <f>IFERROR(_xlfn.XLOOKUP(Table[[#This Row],[Ativo]],Pendentes[COD_RELIGADOR],Pendentes[DESCRICAO]),"")</f>
        <v>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v>
      </c>
      <c r="M68" s="5">
        <v>5</v>
      </c>
      <c r="N68" s="5">
        <v>5</v>
      </c>
      <c r="O68" s="5">
        <v>0</v>
      </c>
      <c r="P68" s="5">
        <v>0</v>
      </c>
      <c r="Q68" s="5">
        <v>15</v>
      </c>
      <c r="R68" s="5">
        <v>10</v>
      </c>
      <c r="S68" s="5">
        <v>0</v>
      </c>
      <c r="T68" s="5">
        <v>0</v>
      </c>
      <c r="U68" s="5">
        <f>SUM(Table[[#This Row],[Premissa 1]:[Premissa 8]])</f>
        <v>35</v>
      </c>
      <c r="V68" s="5" t="s">
        <v>14</v>
      </c>
      <c r="W68" t="s">
        <v>286</v>
      </c>
    </row>
    <row r="69" spans="1:23" ht="15" customHeight="1">
      <c r="A69" s="4">
        <v>7927396052</v>
      </c>
      <c r="B69" s="5" t="str">
        <f>MID(Table[[#This Row],[Ativo]],1,2)</f>
        <v>79</v>
      </c>
      <c r="C69" s="5" t="s">
        <v>192</v>
      </c>
      <c r="D69" s="5" t="s">
        <v>192</v>
      </c>
      <c r="E69" s="5" t="s">
        <v>76</v>
      </c>
      <c r="F69" s="4" t="str">
        <f>IFERROR(_xlfn.XLOOKUP(Table[[#This Row],[Ativo]],Pendentes[COD_RELIGADOR],Pendentes[SS_ORIGINAL]),"CONCLUÍDA")</f>
        <v>ETO-COEP 00045/2026</v>
      </c>
      <c r="G69" s="4" t="s">
        <v>451</v>
      </c>
      <c r="I69" s="4" t="s">
        <v>694</v>
      </c>
      <c r="J69" s="29" t="s">
        <v>480</v>
      </c>
      <c r="K69" s="31">
        <v>1</v>
      </c>
      <c r="L69" t="str">
        <f>IFERROR(_xlfn.XLOOKUP(Table[[#This Row],[Ativo]],Pendentes[COD_RELIGADOR],Pendentes[DESCRICAO]),"")</f>
        <v>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v>
      </c>
      <c r="M69" s="5">
        <v>5</v>
      </c>
      <c r="N69" s="5">
        <v>5</v>
      </c>
      <c r="O69" s="5">
        <v>0</v>
      </c>
      <c r="P69" s="5">
        <v>0</v>
      </c>
      <c r="Q69" s="5">
        <v>15</v>
      </c>
      <c r="R69" s="5">
        <v>10</v>
      </c>
      <c r="S69" s="5">
        <v>0</v>
      </c>
      <c r="T69" s="5">
        <v>0</v>
      </c>
      <c r="U69" s="5">
        <f>SUM(Table[[#This Row],[Premissa 1]:[Premissa 8]])</f>
        <v>35</v>
      </c>
      <c r="V69" s="5" t="s">
        <v>14</v>
      </c>
      <c r="W69" t="s">
        <v>281</v>
      </c>
    </row>
    <row r="70" spans="1:23" ht="15" customHeight="1">
      <c r="A70" s="4">
        <v>7933585074</v>
      </c>
      <c r="B70" s="5" t="str">
        <f>MID(Table[[#This Row],[Ativo]],1,2)</f>
        <v>79</v>
      </c>
      <c r="C70" s="5" t="s">
        <v>75</v>
      </c>
      <c r="D70" s="5" t="s">
        <v>75</v>
      </c>
      <c r="E70" s="5" t="s">
        <v>76</v>
      </c>
      <c r="F70" s="4" t="str">
        <f>IFERROR(_xlfn.XLOOKUP(Table[[#This Row],[Ativo]],Pendentes[COD_RELIGADOR],Pendentes[SS_ORIGINAL]),"CONCLUÍDA")</f>
        <v>ETO-COEP 00024/2026</v>
      </c>
      <c r="G70" s="5" t="s">
        <v>451</v>
      </c>
      <c r="H70" s="4" t="s">
        <v>452</v>
      </c>
      <c r="I70" s="4" t="s">
        <v>694</v>
      </c>
      <c r="J70" s="29" t="s">
        <v>480</v>
      </c>
      <c r="K70" s="31">
        <v>1</v>
      </c>
      <c r="L70" t="str">
        <f>IFERROR(_xlfn.XLOOKUP(Table[[#This Row],[Ativo]],Pendentes[COD_RELIGADOR],Pendentes[DESCRICAO]),"")</f>
        <v>30/06 PARECER COEP: EQUIPAMENTO SELECIONADO PARA COMPRAREALIZAR SUBSTITUIÇÃO DO TANQUE, O MESMO ESTÁ COM DEFEITO.</v>
      </c>
      <c r="M70" s="5">
        <v>5</v>
      </c>
      <c r="N70" s="5">
        <v>5</v>
      </c>
      <c r="O70" s="5">
        <v>15</v>
      </c>
      <c r="P70" s="5">
        <v>0</v>
      </c>
      <c r="Q70" s="5">
        <v>0</v>
      </c>
      <c r="R70" s="5">
        <v>0</v>
      </c>
      <c r="S70" s="5">
        <v>10</v>
      </c>
      <c r="T70" s="5">
        <v>0</v>
      </c>
      <c r="U70" s="5">
        <f>SUM(Table[[#This Row],[Premissa 1]:[Premissa 8]])</f>
        <v>35</v>
      </c>
      <c r="V70" s="5" t="s">
        <v>14</v>
      </c>
      <c r="W70" t="s">
        <v>273</v>
      </c>
    </row>
    <row r="71" spans="1:23" ht="15" customHeight="1">
      <c r="A71" s="12">
        <v>7942572059</v>
      </c>
      <c r="B71" s="5" t="str">
        <f>MID(Table[[#This Row],[Ativo]],1,2)</f>
        <v>79</v>
      </c>
      <c r="C71" s="5" t="s">
        <v>62</v>
      </c>
      <c r="D71" s="5" t="s">
        <v>62</v>
      </c>
      <c r="E71" s="5" t="s">
        <v>42</v>
      </c>
      <c r="F71" s="4" t="str">
        <f>IFERROR(_xlfn.XLOOKUP(Table[[#This Row],[Ativo]],Pendentes[COD_RELIGADOR],Pendentes[SS_ORIGINAL]),"CONCLUÍDA")</f>
        <v>ETO-PROT 00155/2026</v>
      </c>
      <c r="G71" s="4" t="s">
        <v>482</v>
      </c>
      <c r="I71" s="4" t="s">
        <v>522</v>
      </c>
      <c r="J71" s="29"/>
      <c r="K71" s="31"/>
      <c r="L71" t="str">
        <f>IFERROR(_xlfn.XLOOKUP(Table[[#This Row],[Ativo]],Pendentes[COD_RELIGADOR],Pendentes[DESCRICAO]),"")</f>
        <v>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 Parcecer do COCM CENTRO-****FEITO A MALHAR DE ATERRAMENTO ATENDIDA PELA ORDEM DE SERVIÇO DLP-MLPA02 91/2026 COM RELATORIO EM ANEXO A O.S</v>
      </c>
      <c r="M71" s="5">
        <v>5</v>
      </c>
      <c r="N71" s="5">
        <v>5</v>
      </c>
      <c r="O71" s="5">
        <v>15</v>
      </c>
      <c r="P71" s="5">
        <v>0</v>
      </c>
      <c r="Q71" s="5">
        <v>0</v>
      </c>
      <c r="R71" s="5">
        <v>0</v>
      </c>
      <c r="S71" s="5">
        <v>10</v>
      </c>
      <c r="T71" s="5">
        <v>0</v>
      </c>
      <c r="U71" s="5">
        <f>SUM(Table[[#This Row],[Premissa 1]:[Premissa 8]])</f>
        <v>35</v>
      </c>
      <c r="V71" s="5" t="s">
        <v>14</v>
      </c>
      <c r="W71" t="s">
        <v>297</v>
      </c>
    </row>
    <row r="72" spans="1:23" ht="15" customHeight="1">
      <c r="A72" s="4">
        <v>7944319149</v>
      </c>
      <c r="B72" s="5" t="str">
        <f>MID(Table[[#This Row],[Ativo]],1,2)</f>
        <v>79</v>
      </c>
      <c r="C72" s="5" t="s">
        <v>257</v>
      </c>
      <c r="D72" s="5" t="s">
        <v>210</v>
      </c>
      <c r="E72" s="5" t="s">
        <v>42</v>
      </c>
      <c r="F72" s="4" t="str">
        <f>IFERROR(_xlfn.XLOOKUP(Table[[#This Row],[Ativo]],Pendentes[COD_RELIGADOR],Pendentes[SS_ORIGINAL]),"CONCLUÍDA")</f>
        <v>CONCLUÍDA</v>
      </c>
      <c r="I72" s="4" t="s">
        <v>438</v>
      </c>
      <c r="J72" s="29"/>
      <c r="K72" s="31"/>
      <c r="L72" t="str">
        <f>IFERROR(_xlfn.XLOOKUP(Table[[#This Row],[Ativo]],Pendentes[COD_RELIGADOR],Pendentes[DESCRICAO]),"")</f>
        <v/>
      </c>
      <c r="M72" s="5">
        <v>5</v>
      </c>
      <c r="N72" s="5">
        <v>5</v>
      </c>
      <c r="O72" s="5">
        <v>15</v>
      </c>
      <c r="P72" s="5">
        <v>0</v>
      </c>
      <c r="Q72" s="5">
        <v>0</v>
      </c>
      <c r="R72" s="5">
        <v>0</v>
      </c>
      <c r="S72" s="5">
        <v>10</v>
      </c>
      <c r="T72" s="5">
        <v>0</v>
      </c>
      <c r="U72" s="5">
        <f>SUM(Table[[#This Row],[Premissa 1]:[Premissa 8]])</f>
        <v>35</v>
      </c>
      <c r="V72" s="5" t="s">
        <v>14</v>
      </c>
      <c r="W72" t="s">
        <v>524</v>
      </c>
    </row>
    <row r="73" spans="1:23" ht="15" customHeight="1">
      <c r="A73" s="4">
        <v>7955986084</v>
      </c>
      <c r="B73" s="5" t="str">
        <f>MID(Table[[#This Row],[Ativo]],1,2)</f>
        <v>79</v>
      </c>
      <c r="C73" s="5" t="s">
        <v>210</v>
      </c>
      <c r="D73" s="5" t="s">
        <v>210</v>
      </c>
      <c r="E73" s="5" t="s">
        <v>42</v>
      </c>
      <c r="F73" s="4" t="str">
        <f>IFERROR(_xlfn.XLOOKUP(Table[[#This Row],[Ativo]],Pendentes[COD_RELIGADOR],Pendentes[SS_ORIGINAL]),"CONCLUÍDA")</f>
        <v>ETO-COEP 00133/2026</v>
      </c>
      <c r="G73" s="4" t="s">
        <v>451</v>
      </c>
      <c r="I73" s="4" t="s">
        <v>694</v>
      </c>
      <c r="J73" s="29"/>
      <c r="K73" s="31"/>
      <c r="L73" t="str">
        <f>IFERROR(_xlfn.XLOOKUP(Table[[#This Row],[Ativo]],Pendentes[COD_RELIGADOR],Pendentes[DESCRICAO]),"")</f>
        <v>14/07/2026 PARECER COEP : SUBSTIUIR CONTROLE COMPLETOPARECER DMSL: Equipamento com a placa de alimentação ca em curto, será necessário substituir a placa do equipamento. (Antiga nota era pra ter sido repassada porém foi baixada indevidamente pela equipe)</v>
      </c>
      <c r="M73" s="5">
        <v>5</v>
      </c>
      <c r="N73" s="5">
        <v>5</v>
      </c>
      <c r="O73" s="5">
        <v>0</v>
      </c>
      <c r="P73" s="5">
        <v>0</v>
      </c>
      <c r="Q73" s="5">
        <v>15</v>
      </c>
      <c r="R73" s="5">
        <v>10</v>
      </c>
      <c r="S73" s="5">
        <v>0</v>
      </c>
      <c r="T73" s="5">
        <v>0</v>
      </c>
      <c r="U73" s="5">
        <f>SUM(Table[[#This Row],[Premissa 1]:[Premissa 8]])</f>
        <v>35</v>
      </c>
      <c r="V73" s="5" t="s">
        <v>14</v>
      </c>
      <c r="W73" t="s">
        <v>277</v>
      </c>
    </row>
    <row r="74" spans="1:23" ht="15" customHeight="1">
      <c r="A74" s="12">
        <v>7967181127</v>
      </c>
      <c r="B74" s="5" t="str">
        <f>MID(Table[[#This Row],[Ativo]],1,2)</f>
        <v>79</v>
      </c>
      <c r="C74" s="5" t="s">
        <v>222</v>
      </c>
      <c r="D74" s="5" t="s">
        <v>223</v>
      </c>
      <c r="E74" s="5" t="s">
        <v>51</v>
      </c>
      <c r="F74" s="4" t="str">
        <f>IFERROR(_xlfn.XLOOKUP(Table[[#This Row],[Ativo]],Pendentes[COD_RELIGADOR],Pendentes[SS_ORIGINAL]),"CONCLUÍDA")</f>
        <v>CONCLUÍDA</v>
      </c>
      <c r="G74" s="4" t="s">
        <v>732</v>
      </c>
      <c r="J74" s="29"/>
      <c r="K74" s="31"/>
      <c r="L74" t="str">
        <f>IFERROR(_xlfn.XLOOKUP(Table[[#This Row],[Ativo]],Pendentes[COD_RELIGADOR],Pendentes[DESCRICAO]),"")</f>
        <v/>
      </c>
      <c r="M74" s="5">
        <v>5</v>
      </c>
      <c r="N74" s="5">
        <v>5</v>
      </c>
      <c r="O74" s="5">
        <v>0</v>
      </c>
      <c r="P74" s="5">
        <v>0</v>
      </c>
      <c r="Q74" s="5">
        <v>15</v>
      </c>
      <c r="R74" s="5">
        <v>10</v>
      </c>
      <c r="S74" s="5">
        <v>0</v>
      </c>
      <c r="T74" s="5">
        <v>0</v>
      </c>
      <c r="U74" s="5">
        <f>SUM(Table[[#This Row],[Premissa 1]:[Premissa 8]])</f>
        <v>35</v>
      </c>
      <c r="V74" s="5" t="s">
        <v>14</v>
      </c>
      <c r="W74" t="s">
        <v>527</v>
      </c>
    </row>
    <row r="75" spans="1:23" ht="15" customHeight="1">
      <c r="A75" s="4">
        <v>7900525015</v>
      </c>
      <c r="B75" s="5" t="str">
        <f>MID(Table[[#This Row],[Ativo]],1,2)</f>
        <v>79</v>
      </c>
      <c r="C75" s="5" t="s">
        <v>283</v>
      </c>
      <c r="D75" s="5" t="s">
        <v>50</v>
      </c>
      <c r="E75" s="5" t="s">
        <v>51</v>
      </c>
      <c r="F75" s="4" t="str">
        <f>IFERROR(_xlfn.XLOOKUP(Table[[#This Row],[Ativo]],Pendentes[COD_RELIGADOR],Pendentes[SS_ORIGINAL]),"CONCLUÍDA")</f>
        <v>ETO-COEP 00125/2026</v>
      </c>
      <c r="G75" s="4" t="s">
        <v>451</v>
      </c>
      <c r="I75" s="4" t="s">
        <v>694</v>
      </c>
      <c r="J75" s="29" t="s">
        <v>480</v>
      </c>
      <c r="K75" s="31">
        <v>1</v>
      </c>
      <c r="L75" t="str">
        <f>IFERROR(_xlfn.XLOOKUP(Table[[#This Row],[Ativo]],Pendentes[COD_RELIGADOR],Pendentes[DESCRICAO]),"")</f>
        <v>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v>
      </c>
      <c r="M75" s="5">
        <v>5</v>
      </c>
      <c r="N75" s="5">
        <v>5</v>
      </c>
      <c r="O75" s="5">
        <v>0</v>
      </c>
      <c r="P75" s="5">
        <v>0</v>
      </c>
      <c r="Q75" s="5">
        <v>15</v>
      </c>
      <c r="R75" s="5">
        <v>10</v>
      </c>
      <c r="S75" s="5">
        <v>0</v>
      </c>
      <c r="T75" s="5">
        <v>0</v>
      </c>
      <c r="U75" s="5">
        <f>SUM(Table[[#This Row],[Premissa 1]:[Premissa 8]])</f>
        <v>35</v>
      </c>
      <c r="V75" s="5" t="s">
        <v>14</v>
      </c>
      <c r="W75" t="s">
        <v>289</v>
      </c>
    </row>
    <row r="76" spans="1:23" ht="15" customHeight="1">
      <c r="A76" s="4">
        <v>7928564039</v>
      </c>
      <c r="B76" s="5" t="str">
        <f>MID(Table[[#This Row],[Ativo]],1,2)</f>
        <v>79</v>
      </c>
      <c r="C76" s="5" t="s">
        <v>267</v>
      </c>
      <c r="D76" s="5" t="s">
        <v>132</v>
      </c>
      <c r="E76" s="5" t="s">
        <v>51</v>
      </c>
      <c r="F76" s="4" t="str">
        <f>IFERROR(_xlfn.XLOOKUP(Table[[#This Row],[Ativo]],Pendentes[COD_RELIGADOR],Pendentes[SS_ORIGINAL]),"CONCLUÍDA")</f>
        <v>ETO-COEP 00123/2026</v>
      </c>
      <c r="G76" s="4" t="s">
        <v>451</v>
      </c>
      <c r="I76" s="4" t="s">
        <v>694</v>
      </c>
      <c r="J76" s="29" t="s">
        <v>469</v>
      </c>
      <c r="K76" s="31">
        <v>1</v>
      </c>
      <c r="L76" t="str">
        <f>IFERROR(_xlfn.XLOOKUP(Table[[#This Row],[Ativo]],Pendentes[COD_RELIGADOR],Pendentes[DESCRICAO]),"")</f>
        <v>PARECER COEP: EQUIPAMENTO SELECIONADO PARA COMPRATroca do sistema de comunicação do equipamentoDMSL 28/07/2025: Equipamento com tanque, modulo e rele com defeito, solicitar troca do equipamento ao DCMD.Fotos vão ser enviadas por e-mail</v>
      </c>
      <c r="M76" s="5">
        <v>5</v>
      </c>
      <c r="N76" s="5">
        <v>10</v>
      </c>
      <c r="O76" s="5">
        <v>5</v>
      </c>
      <c r="P76" s="5">
        <v>0</v>
      </c>
      <c r="Q76" s="5">
        <v>0</v>
      </c>
      <c r="R76" s="5">
        <v>10</v>
      </c>
      <c r="S76" s="5">
        <v>0</v>
      </c>
      <c r="T76" s="5">
        <v>0</v>
      </c>
      <c r="U76" s="5">
        <f>SUM(Table[[#This Row],[Premissa 1]:[Premissa 8]])</f>
        <v>30</v>
      </c>
      <c r="V76" s="5" t="s">
        <v>14</v>
      </c>
      <c r="W76" t="s">
        <v>300</v>
      </c>
    </row>
    <row r="77" spans="1:23" ht="15" customHeight="1">
      <c r="A77" s="4">
        <v>7957126085</v>
      </c>
      <c r="B77" s="5" t="str">
        <f>MID(Table[[#This Row],[Ativo]],1,2)</f>
        <v>79</v>
      </c>
      <c r="C77" s="5" t="s">
        <v>528</v>
      </c>
      <c r="D77" s="5" t="s">
        <v>97</v>
      </c>
      <c r="E77" s="5" t="s">
        <v>42</v>
      </c>
      <c r="F77" s="4" t="str">
        <f>IFERROR(_xlfn.XLOOKUP(Table[[#This Row],[Ativo]],Pendentes[COD_RELIGADOR],Pendentes[SS_ORIGINAL]),"CONCLUÍDA")</f>
        <v>CONCLUÍDA</v>
      </c>
      <c r="I77" s="4" t="s">
        <v>438</v>
      </c>
      <c r="J77" s="29"/>
      <c r="K77" s="31"/>
      <c r="L77" t="str">
        <f>IFERROR(_xlfn.XLOOKUP(Table[[#This Row],[Ativo]],Pendentes[COD_RELIGADOR],Pendentes[DESCRICAO]),"")</f>
        <v/>
      </c>
      <c r="M77" s="5">
        <v>5</v>
      </c>
      <c r="N77" s="5">
        <v>10</v>
      </c>
      <c r="O77" s="5">
        <v>5</v>
      </c>
      <c r="P77" s="5">
        <v>0</v>
      </c>
      <c r="Q77" s="5">
        <v>0</v>
      </c>
      <c r="R77" s="5">
        <v>10</v>
      </c>
      <c r="S77" s="5">
        <v>0</v>
      </c>
      <c r="T77" s="5">
        <v>0</v>
      </c>
      <c r="U77" s="5">
        <f>SUM(Table[[#This Row],[Premissa 1]:[Premissa 8]])</f>
        <v>30</v>
      </c>
      <c r="V77" s="5" t="s">
        <v>14</v>
      </c>
      <c r="W77" t="s">
        <v>529</v>
      </c>
    </row>
    <row r="78" spans="1:23" ht="15" customHeight="1">
      <c r="A78" s="4">
        <v>5841308190</v>
      </c>
      <c r="B78" s="5" t="str">
        <f>MID(Table[[#This Row],[Ativo]],1,2)</f>
        <v>58</v>
      </c>
      <c r="C78" s="5" t="s">
        <v>530</v>
      </c>
      <c r="D78" s="5" t="s">
        <v>75</v>
      </c>
      <c r="E78" s="5" t="s">
        <v>76</v>
      </c>
      <c r="F78" s="4" t="str">
        <f>IFERROR(_xlfn.XLOOKUP(Table[[#This Row],[Ativo]],Pendentes[COD_RELIGADOR],Pendentes[SS_ORIGINAL]),"CONCLUÍDA")</f>
        <v>CONCLUÍDA</v>
      </c>
      <c r="I78" s="4" t="s">
        <v>531</v>
      </c>
      <c r="J78" s="29" t="s">
        <v>45</v>
      </c>
      <c r="K78" s="31"/>
      <c r="L78" t="str">
        <f>IFERROR(_xlfn.XLOOKUP(Table[[#This Row],[Ativo]],Pendentes[COD_RELIGADOR],Pendentes[DESCRICAO]),"")</f>
        <v/>
      </c>
      <c r="M78" s="5">
        <v>0</v>
      </c>
      <c r="N78" s="5">
        <v>20</v>
      </c>
      <c r="O78" s="5">
        <v>0</v>
      </c>
      <c r="P78" s="5">
        <v>10</v>
      </c>
      <c r="Q78" s="5">
        <v>0</v>
      </c>
      <c r="R78" s="5" t="s">
        <v>45</v>
      </c>
      <c r="S78" s="5" t="s">
        <v>45</v>
      </c>
      <c r="T78" s="5" t="s">
        <v>45</v>
      </c>
      <c r="U78" s="5">
        <f>SUM(Table[[#This Row],[Premissa 1]:[Premissa 8]])</f>
        <v>30</v>
      </c>
      <c r="V78" s="5" t="s">
        <v>15</v>
      </c>
      <c r="W78" t="s">
        <v>532</v>
      </c>
    </row>
    <row r="79" spans="1:23" ht="15" customHeight="1">
      <c r="A79" s="12">
        <v>5844630060</v>
      </c>
      <c r="B79" s="5" t="str">
        <f>MID(Table[[#This Row],[Ativo]],1,2)</f>
        <v>58</v>
      </c>
      <c r="C79" s="5" t="s">
        <v>533</v>
      </c>
      <c r="D79" s="5" t="s">
        <v>154</v>
      </c>
      <c r="E79" s="5" t="s">
        <v>51</v>
      </c>
      <c r="F79" s="4" t="str">
        <f>IFERROR(_xlfn.XLOOKUP(Table[[#This Row],[Ativo]],Pendentes[COD_RELIGADOR],Pendentes[SS_ORIGINAL]),"CONCLUÍDA")</f>
        <v>CONCLUÍDA</v>
      </c>
      <c r="G79" s="4" t="s">
        <v>701</v>
      </c>
      <c r="H79" s="4" t="s">
        <v>702</v>
      </c>
      <c r="I79" s="4" t="s">
        <v>443</v>
      </c>
      <c r="J79" s="29" t="s">
        <v>444</v>
      </c>
      <c r="K79" s="31">
        <v>1</v>
      </c>
      <c r="L79" t="str">
        <f>IFERROR(_xlfn.XLOOKUP(Table[[#This Row],[Ativo]],Pendentes[COD_RELIGADOR],Pendentes[DESCRICAO]),"")</f>
        <v/>
      </c>
      <c r="M79" s="5">
        <v>20</v>
      </c>
      <c r="N79" s="5">
        <v>0</v>
      </c>
      <c r="O79" s="5">
        <v>0</v>
      </c>
      <c r="P79" s="5">
        <v>10</v>
      </c>
      <c r="Q79" s="5">
        <v>0</v>
      </c>
      <c r="R79" s="5" t="s">
        <v>45</v>
      </c>
      <c r="S79" s="5" t="s">
        <v>45</v>
      </c>
      <c r="T79" s="5" t="s">
        <v>45</v>
      </c>
      <c r="U79" s="5">
        <f>SUM(Table[[#This Row],[Premissa 1]:[Premissa 8]])</f>
        <v>30</v>
      </c>
      <c r="V79" s="5" t="s">
        <v>15</v>
      </c>
      <c r="W79" t="s">
        <v>535</v>
      </c>
    </row>
    <row r="80" spans="1:23" ht="15" customHeight="1">
      <c r="A80" s="4">
        <v>5855411017</v>
      </c>
      <c r="B80" s="5" t="str">
        <f>MID(Table[[#This Row],[Ativo]],1,2)</f>
        <v>58</v>
      </c>
      <c r="C80" s="5" t="s">
        <v>302</v>
      </c>
      <c r="D80" s="5" t="s">
        <v>186</v>
      </c>
      <c r="E80" s="5" t="s">
        <v>42</v>
      </c>
      <c r="F80" s="4" t="str">
        <f>IFERROR(_xlfn.XLOOKUP(Table[[#This Row],[Ativo]],Pendentes[COD_RELIGADOR],Pendentes[SS_ORIGINAL]),"CONCLUÍDA")</f>
        <v>ETO-COEP 00156/2026</v>
      </c>
      <c r="G80" s="4" t="s">
        <v>451</v>
      </c>
      <c r="I80" s="4" t="s">
        <v>694</v>
      </c>
      <c r="J80" s="29" t="s">
        <v>460</v>
      </c>
      <c r="K80" s="31">
        <v>1</v>
      </c>
      <c r="L80" t="str">
        <f>IFERROR(_xlfn.XLOOKUP(Table[[#This Row],[Ativo]],Pendentes[COD_RELIGADOR],Pendentes[DESCRICAO]),"")</f>
        <v>20/07 PARECER COCM: NÃO RECEBEMOS MATERIAL10/07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v>
      </c>
      <c r="M80" s="5">
        <v>0</v>
      </c>
      <c r="N80" s="5">
        <v>0</v>
      </c>
      <c r="O80" s="5">
        <v>0</v>
      </c>
      <c r="P80" s="5">
        <v>10</v>
      </c>
      <c r="Q80" s="5">
        <v>20</v>
      </c>
      <c r="R80" s="5" t="s">
        <v>45</v>
      </c>
      <c r="S80" s="5" t="s">
        <v>45</v>
      </c>
      <c r="T80" s="5" t="s">
        <v>45</v>
      </c>
      <c r="U80" s="5">
        <f>SUM(Table[[#This Row],[Premissa 1]:[Premissa 8]])</f>
        <v>30</v>
      </c>
      <c r="V80" s="5" t="s">
        <v>15</v>
      </c>
      <c r="W80" t="s">
        <v>305</v>
      </c>
    </row>
    <row r="81" spans="1:23" ht="15" customHeight="1">
      <c r="A81" s="4">
        <v>7900505026</v>
      </c>
      <c r="B81" s="5" t="str">
        <f>MID(Table[[#This Row],[Ativo]],1,2)</f>
        <v>79</v>
      </c>
      <c r="C81" s="5" t="s">
        <v>108</v>
      </c>
      <c r="D81" s="5" t="s">
        <v>108</v>
      </c>
      <c r="E81" s="5" t="s">
        <v>42</v>
      </c>
      <c r="F81" s="4" t="str">
        <f>IFERROR(_xlfn.XLOOKUP(Table[[#This Row],[Ativo]],Pendentes[COD_RELIGADOR],Pendentes[SS_ORIGINAL]),"CONCLUÍDA")</f>
        <v>CONCLUÍDA</v>
      </c>
      <c r="I81" s="4" t="s">
        <v>438</v>
      </c>
      <c r="J81" s="29"/>
      <c r="K81" s="31"/>
      <c r="L81" t="str">
        <f>IFERROR(_xlfn.XLOOKUP(Table[[#This Row],[Ativo]],Pendentes[COD_RELIGADOR],Pendentes[DESCRICAO]),"")</f>
        <v/>
      </c>
      <c r="M81" s="5">
        <v>5</v>
      </c>
      <c r="N81" s="5">
        <v>5</v>
      </c>
      <c r="O81" s="5">
        <v>5</v>
      </c>
      <c r="P81" s="5">
        <v>0</v>
      </c>
      <c r="Q81" s="5">
        <v>0</v>
      </c>
      <c r="R81" s="5">
        <v>0</v>
      </c>
      <c r="S81" s="5">
        <v>10</v>
      </c>
      <c r="T81" s="5">
        <v>0</v>
      </c>
      <c r="U81" s="5">
        <f>SUM(Table[[#This Row],[Premissa 1]:[Premissa 8]])</f>
        <v>25</v>
      </c>
      <c r="V81" s="5" t="s">
        <v>15</v>
      </c>
      <c r="W81" t="s">
        <v>539</v>
      </c>
    </row>
    <row r="82" spans="1:23" ht="15" customHeight="1">
      <c r="A82" s="12">
        <v>7908196047</v>
      </c>
      <c r="B82" s="5" t="str">
        <f>MID(Table[[#This Row],[Ativo]],1,2)</f>
        <v>79</v>
      </c>
      <c r="C82" s="5" t="s">
        <v>191</v>
      </c>
      <c r="D82" s="5" t="s">
        <v>449</v>
      </c>
      <c r="E82" s="5" t="s">
        <v>76</v>
      </c>
      <c r="F82" s="4" t="str">
        <f>IFERROR(_xlfn.XLOOKUP(Table[[#This Row],[Ativo]],Pendentes[COD_RELIGADOR],Pendentes[SS_ORIGINAL]),"CONCLUÍDA")</f>
        <v>ETO-TELE 01002/2026</v>
      </c>
      <c r="G82" s="4" t="s">
        <v>451</v>
      </c>
      <c r="I82" s="4" t="s">
        <v>694</v>
      </c>
      <c r="J82" s="29" t="s">
        <v>469</v>
      </c>
      <c r="K82" s="31">
        <v>1</v>
      </c>
      <c r="L82" t="str">
        <f>IFERROR(_xlfn.XLOOKUP(Table[[#This Row],[Ativo]],Pendentes[COD_RELIGADOR],Pendentes[DESCRICAO]),"")</f>
        <v>13/07/2026 PARECER COEP: EQUIPAMENTO REMANEJADO FAVOR FAZER O COMISSIONAMENTORELIGADOR N° 7908196047 REMANEJADO NA OBRA 0402401150 GENTILEZA, REALIZAR O COMISSIONAMENTO. LAUDO EM ANEXO. COORD EO: 698485, 8657287PARECER DA PROTEÇÃO:AJUSTE DISPONIBILIZADO NO APP DA PROTEÇÃO, NOTA REPASSADA PARA DMSL COMISSIONAR, POLO GURUPI, RL APENAS REMANEJADO DA REDE VELHA PARA REDE NOVA, EQUIPAMENTO COOPER, SE MANTEVE O MESMO NÚMERO DE ATIVO.ENG° IRLLEY CASTELO BRANCO.PARECER DMSL: Constatado curto-circuito no tanque do religador, impedindo as operações de abertura e fechamento do equipamento. Solicita-se a substituição completa do religador, incluindo tanque e unidade de controle.</v>
      </c>
      <c r="M82" s="5">
        <v>5</v>
      </c>
      <c r="N82" s="5">
        <v>5</v>
      </c>
      <c r="O82" s="5">
        <v>5</v>
      </c>
      <c r="P82" s="5">
        <v>0</v>
      </c>
      <c r="Q82" s="5">
        <v>0</v>
      </c>
      <c r="R82" s="5">
        <v>0</v>
      </c>
      <c r="S82" s="5">
        <v>10</v>
      </c>
      <c r="T82" s="5">
        <v>0</v>
      </c>
      <c r="U82" s="5">
        <f>SUM(Table[[#This Row],[Premissa 1]:[Premissa 8]])</f>
        <v>25</v>
      </c>
      <c r="V82" s="5" t="s">
        <v>15</v>
      </c>
      <c r="W82" t="s">
        <v>308</v>
      </c>
    </row>
    <row r="83" spans="1:23" ht="15" customHeight="1">
      <c r="A83" s="4">
        <v>7921202014</v>
      </c>
      <c r="B83" s="5" t="str">
        <f>MID(Table[[#This Row],[Ativo]],1,2)</f>
        <v>79</v>
      </c>
      <c r="C83" s="5" t="s">
        <v>126</v>
      </c>
      <c r="D83" s="5" t="s">
        <v>97</v>
      </c>
      <c r="E83" s="5" t="s">
        <v>42</v>
      </c>
      <c r="F83" s="4" t="str">
        <f>IFERROR(_xlfn.XLOOKUP(Table[[#This Row],[Ativo]],Pendentes[COD_RELIGADOR],Pendentes[SS_ORIGINAL]),"CONCLUÍDA")</f>
        <v>ETO-COEP 00132/2026</v>
      </c>
      <c r="G83" s="4" t="s">
        <v>451</v>
      </c>
      <c r="I83" s="4" t="s">
        <v>694</v>
      </c>
      <c r="J83" s="29" t="s">
        <v>480</v>
      </c>
      <c r="K83" s="31">
        <v>1</v>
      </c>
      <c r="L83" t="str">
        <f>IFERROR(_xlfn.XLOOKUP(Table[[#This Row],[Ativo]],Pendentes[COD_RELIGADOR],Pendentes[DESCRICAO]),"")</f>
        <v>PARECER COEP: EQUIPAMENTO SELECIONADO PARA COMPRA , DEVERIA SER SUBSTITUIDO PARTE ATIVAPARECER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v>
      </c>
      <c r="M83" s="5">
        <v>5</v>
      </c>
      <c r="N83" s="5">
        <v>5</v>
      </c>
      <c r="O83" s="5">
        <v>5</v>
      </c>
      <c r="P83" s="5">
        <v>0</v>
      </c>
      <c r="Q83" s="5">
        <v>0</v>
      </c>
      <c r="R83" s="5">
        <v>10</v>
      </c>
      <c r="S83" s="5">
        <v>0</v>
      </c>
      <c r="T83" s="5">
        <v>0</v>
      </c>
      <c r="U83" s="5">
        <f>SUM(Table[[#This Row],[Premissa 1]:[Premissa 8]])</f>
        <v>25</v>
      </c>
      <c r="V83" s="5" t="s">
        <v>15</v>
      </c>
      <c r="W83" t="s">
        <v>322</v>
      </c>
    </row>
    <row r="84" spans="1:23" ht="15" customHeight="1">
      <c r="A84" s="4">
        <v>7923927122</v>
      </c>
      <c r="B84" s="5" t="str">
        <f>MID(Table[[#This Row],[Ativo]],1,2)</f>
        <v>79</v>
      </c>
      <c r="C84" s="5" t="s">
        <v>68</v>
      </c>
      <c r="D84" s="5" t="s">
        <v>68</v>
      </c>
      <c r="E84" s="5" t="s">
        <v>42</v>
      </c>
      <c r="F84" s="4" t="str">
        <f>IFERROR(_xlfn.XLOOKUP(Table[[#This Row],[Ativo]],Pendentes[COD_RELIGADOR],Pendentes[SS_ORIGINAL]),"CONCLUÍDA")</f>
        <v>ETO-COEP 00148/2026</v>
      </c>
      <c r="G84" s="4" t="s">
        <v>451</v>
      </c>
      <c r="I84" s="4" t="s">
        <v>694</v>
      </c>
      <c r="J84" s="29" t="s">
        <v>480</v>
      </c>
      <c r="K84" s="31">
        <v>1</v>
      </c>
      <c r="L84" t="str">
        <f>IFERROR(_xlfn.XLOOKUP(Table[[#This Row],[Ativo]],Pendentes[COD_RELIGADOR],Pendentes[DESCRICAO]),"")</f>
        <v>PARECER DMSL 16/07: Nota solicitada ao DMSL com a informação de que o tanque precisa ser substituído. Estou encaminhando a nota para a área responsável.Segue nota para envia manutenção substituir tanque do RL-7923927122 em curto, Anomalia identificada desarme das LD, s Palmas / Aparecida e Palmas Taquaruçu, Acesso livre, Tensão 34,5kv, Local RL de Interligação entre 424R / 414R.</v>
      </c>
      <c r="M84" s="5">
        <v>15</v>
      </c>
      <c r="N84" s="5">
        <v>0</v>
      </c>
      <c r="O84" s="5">
        <v>0</v>
      </c>
      <c r="P84" s="5">
        <v>0</v>
      </c>
      <c r="Q84" s="5">
        <v>0</v>
      </c>
      <c r="R84" s="5">
        <v>10</v>
      </c>
      <c r="S84" s="5">
        <v>0</v>
      </c>
      <c r="T84" s="5">
        <v>0</v>
      </c>
      <c r="U84" s="5">
        <f>SUM(Table[[#This Row],[Premissa 1]:[Premissa 8]])</f>
        <v>25</v>
      </c>
      <c r="V84" s="5" t="s">
        <v>15</v>
      </c>
      <c r="W84" t="s">
        <v>314</v>
      </c>
    </row>
    <row r="85" spans="1:23" ht="15" customHeight="1">
      <c r="A85" s="4">
        <v>7927446001</v>
      </c>
      <c r="B85" s="5" t="str">
        <f>MID(Table[[#This Row],[Ativo]],1,2)</f>
        <v>79</v>
      </c>
      <c r="C85" s="5" t="s">
        <v>41</v>
      </c>
      <c r="D85" s="5" t="s">
        <v>41</v>
      </c>
      <c r="E85" s="5" t="s">
        <v>42</v>
      </c>
      <c r="F85" s="4" t="str">
        <f>IFERROR(_xlfn.XLOOKUP(Table[[#This Row],[Ativo]],Pendentes[COD_RELIGADOR],Pendentes[SS_ORIGINAL]),"CONCLUÍDA")</f>
        <v>ETO-COEP 00143/2025</v>
      </c>
      <c r="G85" s="4" t="s">
        <v>451</v>
      </c>
      <c r="I85" s="4" t="s">
        <v>694</v>
      </c>
      <c r="J85" s="29" t="s">
        <v>469</v>
      </c>
      <c r="K85" s="31">
        <v>1</v>
      </c>
      <c r="L85" t="str">
        <f>IFERROR(_xlfn.XLOOKUP(Table[[#This Row],[Ativo]],Pendentes[COD_RELIGADOR],Pendentes[DESCRICAO]),"")</f>
        <v>30/06 PARECER COEP: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v>
      </c>
      <c r="M85" s="5">
        <v>5</v>
      </c>
      <c r="N85" s="5">
        <v>5</v>
      </c>
      <c r="O85" s="5">
        <v>5</v>
      </c>
      <c r="P85" s="5">
        <v>0</v>
      </c>
      <c r="Q85" s="5">
        <v>0</v>
      </c>
      <c r="R85" s="5">
        <v>10</v>
      </c>
      <c r="S85" s="5">
        <v>0</v>
      </c>
      <c r="T85" s="5">
        <v>0</v>
      </c>
      <c r="U85" s="5">
        <f>SUM(Table[[#This Row],[Premissa 1]:[Premissa 8]])</f>
        <v>25</v>
      </c>
      <c r="V85" s="5" t="s">
        <v>15</v>
      </c>
      <c r="W85" t="s">
        <v>325</v>
      </c>
    </row>
    <row r="86" spans="1:23" ht="15" customHeight="1">
      <c r="A86" s="4">
        <v>7928241200</v>
      </c>
      <c r="B86" s="5" t="str">
        <f>MID(Table[[#This Row],[Ativo]],1,2)</f>
        <v>79</v>
      </c>
      <c r="C86" s="5" t="s">
        <v>327</v>
      </c>
      <c r="D86" s="5" t="s">
        <v>177</v>
      </c>
      <c r="E86" s="5" t="s">
        <v>76</v>
      </c>
      <c r="F86" s="4" t="str">
        <f>IFERROR(_xlfn.XLOOKUP(Table[[#This Row],[Ativo]],Pendentes[COD_RELIGADOR],Pendentes[SS_ORIGINAL]),"CONCLUÍDA")</f>
        <v>ETO-COEP 00128/2026</v>
      </c>
      <c r="G86" s="4" t="s">
        <v>451</v>
      </c>
      <c r="I86" s="4" t="s">
        <v>694</v>
      </c>
      <c r="J86" s="29" t="s">
        <v>480</v>
      </c>
      <c r="K86" s="31">
        <v>1</v>
      </c>
      <c r="L86" t="str">
        <f>IFERROR(_xlfn.XLOOKUP(Table[[#This Row],[Ativo]],Pendentes[COD_RELIGADOR],Pendentes[DESCRICAO]),"")</f>
        <v>PARECER COEP: EQUIPAMENTO SELECIONADO  PARA COMPRAPARECER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v>
      </c>
      <c r="M86" s="5">
        <v>5</v>
      </c>
      <c r="N86" s="5">
        <v>5</v>
      </c>
      <c r="O86" s="5">
        <v>5</v>
      </c>
      <c r="P86" s="5">
        <v>0</v>
      </c>
      <c r="Q86" s="5">
        <v>0</v>
      </c>
      <c r="R86" s="5">
        <v>10</v>
      </c>
      <c r="S86" s="5">
        <v>0</v>
      </c>
      <c r="T86" s="5">
        <v>0</v>
      </c>
      <c r="U86" s="5">
        <f>SUM(Table[[#This Row],[Premissa 1]:[Premissa 8]])</f>
        <v>25</v>
      </c>
      <c r="V86" s="5" t="s">
        <v>15</v>
      </c>
      <c r="W86" t="s">
        <v>330</v>
      </c>
    </row>
    <row r="87" spans="1:23" ht="15" customHeight="1">
      <c r="A87" s="4">
        <v>7942485096</v>
      </c>
      <c r="B87" s="5" t="str">
        <f>MID(Table[[#This Row],[Ativo]],1,2)</f>
        <v>79</v>
      </c>
      <c r="C87" s="5" t="s">
        <v>316</v>
      </c>
      <c r="D87" s="5" t="s">
        <v>108</v>
      </c>
      <c r="E87" s="5" t="s">
        <v>42</v>
      </c>
      <c r="F87" s="4" t="str">
        <f>IFERROR(_xlfn.XLOOKUP(Table[[#This Row],[Ativo]],Pendentes[COD_RELIGADOR],Pendentes[SS_ORIGINAL]),"CONCLUÍDA")</f>
        <v>ETO-COEP 00158/2025</v>
      </c>
      <c r="G87" s="5" t="s">
        <v>451</v>
      </c>
      <c r="I87" s="4" t="s">
        <v>694</v>
      </c>
      <c r="J87" s="29" t="s">
        <v>480</v>
      </c>
      <c r="K87" s="31">
        <v>1</v>
      </c>
      <c r="L87" t="str">
        <f>IFERROR(_xlfn.XLOOKUP(Table[[#This Row],[Ativo]],Pendentes[COD_RELIGADOR],Pendentes[DESCRICAO]),"")</f>
        <v>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v>
      </c>
      <c r="M87" s="5">
        <v>5</v>
      </c>
      <c r="N87" s="5">
        <v>5</v>
      </c>
      <c r="O87" s="5">
        <v>5</v>
      </c>
      <c r="P87" s="5">
        <v>0</v>
      </c>
      <c r="Q87" s="5">
        <v>0</v>
      </c>
      <c r="R87" s="5">
        <v>10</v>
      </c>
      <c r="S87" s="5">
        <v>0</v>
      </c>
      <c r="T87" s="5">
        <v>0</v>
      </c>
      <c r="U87" s="5">
        <f>SUM(Table[[#This Row],[Premissa 1]:[Premissa 8]])</f>
        <v>25</v>
      </c>
      <c r="V87" s="5" t="s">
        <v>15</v>
      </c>
      <c r="W87" t="s">
        <v>318</v>
      </c>
    </row>
    <row r="88" spans="1:23" ht="15" customHeight="1">
      <c r="A88" s="4">
        <v>7955430075</v>
      </c>
      <c r="B88" s="5" t="str">
        <f>MID(Table[[#This Row],[Ativo]],1,2)</f>
        <v>79</v>
      </c>
      <c r="C88" s="5" t="s">
        <v>540</v>
      </c>
      <c r="D88" s="5" t="s">
        <v>210</v>
      </c>
      <c r="E88" s="5" t="s">
        <v>42</v>
      </c>
      <c r="F88" s="4" t="str">
        <f>IFERROR(_xlfn.XLOOKUP(Table[[#This Row],[Ativo]],Pendentes[COD_RELIGADOR],Pendentes[SS_ORIGINAL]),"CONCLUÍDA")</f>
        <v>CONCLUÍDA</v>
      </c>
      <c r="I88" s="4" t="s">
        <v>438</v>
      </c>
      <c r="J88" s="29"/>
      <c r="K88" s="31"/>
      <c r="L88" t="str">
        <f>IFERROR(_xlfn.XLOOKUP(Table[[#This Row],[Ativo]],Pendentes[COD_RELIGADOR],Pendentes[DESCRICAO]),"")</f>
        <v/>
      </c>
      <c r="M88" s="5">
        <v>5</v>
      </c>
      <c r="N88" s="5">
        <v>5</v>
      </c>
      <c r="O88" s="5">
        <v>5</v>
      </c>
      <c r="P88" s="5">
        <v>0</v>
      </c>
      <c r="Q88" s="5">
        <v>0</v>
      </c>
      <c r="R88" s="5">
        <v>0</v>
      </c>
      <c r="S88" s="5">
        <v>10</v>
      </c>
      <c r="T88" s="5">
        <v>0</v>
      </c>
      <c r="U88" s="5">
        <f>SUM(Table[[#This Row],[Premissa 1]:[Premissa 8]])</f>
        <v>25</v>
      </c>
      <c r="V88" s="5" t="s">
        <v>15</v>
      </c>
      <c r="W88" t="s">
        <v>541</v>
      </c>
    </row>
    <row r="89" spans="1:23" ht="15" customHeight="1">
      <c r="A89" s="4">
        <v>7955686076</v>
      </c>
      <c r="B89" s="5" t="str">
        <f>MID(Table[[#This Row],[Ativo]],1,2)</f>
        <v>79</v>
      </c>
      <c r="C89" s="5" t="s">
        <v>335</v>
      </c>
      <c r="D89" s="5" t="s">
        <v>336</v>
      </c>
      <c r="E89" s="5" t="s">
        <v>76</v>
      </c>
      <c r="F89" s="4" t="str">
        <f>IFERROR(_xlfn.XLOOKUP(Table[[#This Row],[Ativo]],Pendentes[COD_RELIGADOR],Pendentes[SS_ORIGINAL]),"CONCLUÍDA")</f>
        <v>CONCLUÍDA</v>
      </c>
      <c r="I89" s="4" t="s">
        <v>438</v>
      </c>
      <c r="J89" s="29"/>
      <c r="K89" s="31"/>
      <c r="L89" t="str">
        <f>IFERROR(_xlfn.XLOOKUP(Table[[#This Row],[Ativo]],Pendentes[COD_RELIGADOR],Pendentes[DESCRICAO]),"")</f>
        <v/>
      </c>
      <c r="M89" s="5">
        <v>5</v>
      </c>
      <c r="N89" s="5">
        <v>5</v>
      </c>
      <c r="O89" s="5">
        <v>0</v>
      </c>
      <c r="P89" s="5">
        <v>0</v>
      </c>
      <c r="Q89" s="5">
        <v>15</v>
      </c>
      <c r="R89" s="5">
        <v>0</v>
      </c>
      <c r="S89" s="5">
        <v>0</v>
      </c>
      <c r="T89" s="5">
        <v>0</v>
      </c>
      <c r="U89" s="5">
        <f>SUM(Table[[#This Row],[Premissa 1]:[Premissa 8]])</f>
        <v>25</v>
      </c>
      <c r="V89" s="5" t="s">
        <v>15</v>
      </c>
      <c r="W89" t="s">
        <v>542</v>
      </c>
    </row>
    <row r="90" spans="1:23" ht="15" customHeight="1">
      <c r="A90" s="4">
        <v>7955946007</v>
      </c>
      <c r="B90" s="5" t="str">
        <f>MID(Table[[#This Row],[Ativo]],1,2)</f>
        <v>79</v>
      </c>
      <c r="C90" s="5" t="s">
        <v>186</v>
      </c>
      <c r="D90" s="5" t="s">
        <v>186</v>
      </c>
      <c r="E90" s="5" t="s">
        <v>42</v>
      </c>
      <c r="F90" s="4" t="str">
        <f>IFERROR(_xlfn.XLOOKUP(Table[[#This Row],[Ativo]],Pendentes[COD_RELIGADOR],Pendentes[SS_ORIGINAL]),"CONCLUÍDA")</f>
        <v>ETO-COEP 00134/2026</v>
      </c>
      <c r="G90" s="4" t="s">
        <v>451</v>
      </c>
      <c r="I90" s="4" t="s">
        <v>694</v>
      </c>
      <c r="J90" s="29" t="s">
        <v>447</v>
      </c>
      <c r="K90" s="31">
        <v>1</v>
      </c>
      <c r="L90" t="str">
        <f>IFERROR(_xlfn.XLOOKUP(Table[[#This Row],[Ativo]],Pendentes[COD_RELIGADOR],Pendentes[DESCRICAO]),"")</f>
        <v>13/07/2026 PARECER COEP: SUBSTITUIR CONTOLE OU MANDAR MANUTENCIONAR EM CASO DE PRIORIDADE ALTAPARECER DMSL: Necessário substituir a placa de alimentação ca, a mesma está em curto não conseguimos recuperar. (Antiga nota era pra ter sido repassada porém foi baixada indevidamente pela equipe)</v>
      </c>
      <c r="M90" s="5">
        <v>5</v>
      </c>
      <c r="N90" s="5">
        <v>5</v>
      </c>
      <c r="O90" s="5">
        <v>5</v>
      </c>
      <c r="P90" s="5">
        <v>0</v>
      </c>
      <c r="Q90" s="5">
        <v>0</v>
      </c>
      <c r="R90" s="5">
        <v>0</v>
      </c>
      <c r="S90" s="5">
        <v>10</v>
      </c>
      <c r="T90" s="5">
        <v>0</v>
      </c>
      <c r="U90" s="5">
        <f>SUM(Table[[#This Row],[Premissa 1]:[Premissa 8]])</f>
        <v>25</v>
      </c>
      <c r="V90" s="5" t="s">
        <v>15</v>
      </c>
      <c r="W90" t="s">
        <v>311</v>
      </c>
    </row>
    <row r="91" spans="1:23" ht="15" customHeight="1">
      <c r="A91" s="4">
        <v>7901110084</v>
      </c>
      <c r="B91" s="5" t="str">
        <f>MID(Table[[#This Row],[Ativo]],1,2)</f>
        <v>79</v>
      </c>
      <c r="C91" s="5" t="s">
        <v>210</v>
      </c>
      <c r="D91" s="5" t="s">
        <v>210</v>
      </c>
      <c r="E91" s="5" t="s">
        <v>42</v>
      </c>
      <c r="F91" s="4" t="str">
        <f>IFERROR(_xlfn.XLOOKUP(Table[[#This Row],[Ativo]],Pendentes[COD_RELIGADOR],Pendentes[SS_ORIGINAL]),"CONCLUÍDA")</f>
        <v>ETO-COEP 00061/2026</v>
      </c>
      <c r="G91" s="4" t="s">
        <v>451</v>
      </c>
      <c r="I91" s="4" t="s">
        <v>694</v>
      </c>
      <c r="J91" s="29" t="s">
        <v>480</v>
      </c>
      <c r="K91" s="31">
        <v>1</v>
      </c>
      <c r="L91" t="str">
        <f>IFERROR(_xlfn.XLOOKUP(Table[[#This Row],[Ativo]],Pendentes[COD_RELIGADOR],Pendentes[DESCRICAO]),"")</f>
        <v>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v>
      </c>
      <c r="M91" s="5">
        <v>5</v>
      </c>
      <c r="N91" s="5">
        <v>5</v>
      </c>
      <c r="O91" s="5">
        <v>0</v>
      </c>
      <c r="P91" s="5">
        <v>0</v>
      </c>
      <c r="Q91" s="5">
        <v>0</v>
      </c>
      <c r="R91" s="5">
        <v>0</v>
      </c>
      <c r="S91" s="5">
        <v>10</v>
      </c>
      <c r="T91" s="5">
        <v>0</v>
      </c>
      <c r="U91" s="5">
        <f>SUM(Table[[#This Row],[Premissa 1]:[Premissa 8]])</f>
        <v>20</v>
      </c>
      <c r="V91" s="5" t="s">
        <v>15</v>
      </c>
      <c r="W91" t="s">
        <v>333</v>
      </c>
    </row>
    <row r="92" spans="1:23" ht="15" customHeight="1">
      <c r="A92" s="4">
        <v>7908206074</v>
      </c>
      <c r="B92" s="5" t="str">
        <f>MID(Table[[#This Row],[Ativo]],1,2)</f>
        <v>79</v>
      </c>
      <c r="C92" s="5" t="s">
        <v>75</v>
      </c>
      <c r="D92" s="5" t="s">
        <v>75</v>
      </c>
      <c r="E92" s="5" t="s">
        <v>76</v>
      </c>
      <c r="F92" s="4" t="str">
        <f>IFERROR(_xlfn.XLOOKUP(Table[[#This Row],[Ativo]],Pendentes[COD_RELIGADOR],Pendentes[SS_ORIGINAL]),"CONCLUÍDA")</f>
        <v>CONCLUÍDA</v>
      </c>
      <c r="I92" s="4" t="s">
        <v>438</v>
      </c>
      <c r="J92" s="29"/>
      <c r="K92" s="31"/>
      <c r="L92" t="str">
        <f>IFERROR(_xlfn.XLOOKUP(Table[[#This Row],[Ativo]],Pendentes[COD_RELIGADOR],Pendentes[DESCRICAO]),"")</f>
        <v/>
      </c>
      <c r="M92" s="5">
        <v>5</v>
      </c>
      <c r="N92" s="5">
        <v>5</v>
      </c>
      <c r="O92" s="5">
        <v>0</v>
      </c>
      <c r="P92" s="5">
        <v>0</v>
      </c>
      <c r="Q92" s="5">
        <v>0</v>
      </c>
      <c r="R92" s="5">
        <v>0</v>
      </c>
      <c r="S92" s="5">
        <v>10</v>
      </c>
      <c r="T92" s="5">
        <v>0</v>
      </c>
      <c r="U92" s="5">
        <f>SUM(Table[[#This Row],[Premissa 1]:[Premissa 8]])</f>
        <v>20</v>
      </c>
      <c r="V92" s="5" t="s">
        <v>15</v>
      </c>
      <c r="W92" t="s">
        <v>543</v>
      </c>
    </row>
    <row r="93" spans="1:23" ht="15" customHeight="1">
      <c r="A93" s="12">
        <v>7908708116</v>
      </c>
      <c r="B93" s="5" t="str">
        <f>MID(Table[[#This Row],[Ativo]],1,2)</f>
        <v>79</v>
      </c>
      <c r="C93" s="5" t="s">
        <v>200</v>
      </c>
      <c r="D93" s="5" t="s">
        <v>75</v>
      </c>
      <c r="E93" s="5" t="s">
        <v>76</v>
      </c>
      <c r="F93" s="4" t="str">
        <f>IFERROR(_xlfn.XLOOKUP(Table[[#This Row],[Ativo]],Pendentes[COD_RELIGADOR],Pendentes[SS_ORIGINAL]),"CONCLUÍDA")</f>
        <v>CONCLUÍDA</v>
      </c>
      <c r="G93" s="4" t="s">
        <v>715</v>
      </c>
      <c r="H93" s="4" t="s">
        <v>716</v>
      </c>
      <c r="I93" s="4" t="s">
        <v>694</v>
      </c>
      <c r="J93" s="29" t="s">
        <v>469</v>
      </c>
      <c r="K93" s="31"/>
      <c r="L93" t="str">
        <f>IFERROR(_xlfn.XLOOKUP(Table[[#This Row],[Ativo]],Pendentes[COD_RELIGADOR],Pendentes[DESCRICAO]),"")</f>
        <v/>
      </c>
      <c r="M93" s="5">
        <v>5</v>
      </c>
      <c r="N93" s="5">
        <v>5</v>
      </c>
      <c r="O93" s="5">
        <v>0</v>
      </c>
      <c r="P93" s="5">
        <v>0</v>
      </c>
      <c r="Q93" s="5">
        <v>0</v>
      </c>
      <c r="R93" s="5">
        <v>0</v>
      </c>
      <c r="S93" s="5">
        <v>10</v>
      </c>
      <c r="T93" s="5">
        <v>0</v>
      </c>
      <c r="U93" s="5">
        <f>SUM(Table[[#This Row],[Premissa 1]:[Premissa 8]])</f>
        <v>20</v>
      </c>
      <c r="V93" s="5" t="s">
        <v>15</v>
      </c>
      <c r="W93" t="s">
        <v>545</v>
      </c>
    </row>
    <row r="94" spans="1:23" ht="15" customHeight="1">
      <c r="A94" s="4">
        <v>7910027196</v>
      </c>
      <c r="B94" s="5" t="str">
        <f>MID(Table[[#This Row],[Ativo]],1,2)</f>
        <v>79</v>
      </c>
      <c r="C94" s="5" t="s">
        <v>546</v>
      </c>
      <c r="D94" s="5" t="s">
        <v>62</v>
      </c>
      <c r="E94" s="5" t="s">
        <v>42</v>
      </c>
      <c r="F94" s="4" t="str">
        <f>IFERROR(_xlfn.XLOOKUP(Table[[#This Row],[Ativo]],Pendentes[COD_RELIGADOR],Pendentes[SS_ORIGINAL]),"CONCLUÍDA")</f>
        <v>CONCLUÍDA</v>
      </c>
      <c r="G94" s="4" t="s">
        <v>451</v>
      </c>
      <c r="I94" s="4" t="s">
        <v>694</v>
      </c>
      <c r="J94" s="29" t="s">
        <v>469</v>
      </c>
      <c r="K94" s="31">
        <v>1</v>
      </c>
      <c r="L94" t="str">
        <f>IFERROR(_xlfn.XLOOKUP(Table[[#This Row],[Ativo]],Pendentes[COD_RELIGADOR],Pendentes[DESCRICAO]),"")</f>
        <v/>
      </c>
      <c r="M94" s="5">
        <v>5</v>
      </c>
      <c r="N94" s="5">
        <v>5</v>
      </c>
      <c r="O94" s="5">
        <v>0</v>
      </c>
      <c r="P94" s="5">
        <v>0</v>
      </c>
      <c r="Q94" s="5">
        <v>0</v>
      </c>
      <c r="R94" s="5">
        <v>0</v>
      </c>
      <c r="S94" s="5">
        <v>10</v>
      </c>
      <c r="T94" s="5">
        <v>0</v>
      </c>
      <c r="U94" s="5">
        <f>SUM(Table[[#This Row],[Premissa 1]:[Premissa 8]])</f>
        <v>20</v>
      </c>
      <c r="V94" s="5" t="s">
        <v>15</v>
      </c>
      <c r="W94" t="s">
        <v>549</v>
      </c>
    </row>
    <row r="95" spans="1:23" ht="15" customHeight="1">
      <c r="A95" s="4">
        <v>7913662076</v>
      </c>
      <c r="B95" s="5" t="str">
        <f>MID(Table[[#This Row],[Ativo]],1,2)</f>
        <v>79</v>
      </c>
      <c r="C95" s="5" t="s">
        <v>335</v>
      </c>
      <c r="D95" s="5" t="s">
        <v>336</v>
      </c>
      <c r="E95" s="5" t="s">
        <v>76</v>
      </c>
      <c r="F95" s="4" t="str">
        <f>IFERROR(_xlfn.XLOOKUP(Table[[#This Row],[Ativo]],Pendentes[COD_RELIGADOR],Pendentes[SS_ORIGINAL]),"CONCLUÍDA")</f>
        <v>ETO-COEP 00114/2026</v>
      </c>
      <c r="G95" s="4" t="s">
        <v>451</v>
      </c>
      <c r="H95" s="4" t="s">
        <v>718</v>
      </c>
      <c r="I95" s="4" t="s">
        <v>694</v>
      </c>
      <c r="J95" s="29" t="s">
        <v>480</v>
      </c>
      <c r="K95" s="31">
        <v>1</v>
      </c>
      <c r="L95" t="str">
        <f>IFERROR(_xlfn.XLOOKUP(Table[[#This Row],[Ativo]],Pendentes[COD_RELIGADOR],Pendentes[DESCRICAO]),"")</f>
        <v>30/06 PARECER COEP: AGUARDANDO RETORNO DO DMSL PARA ENTENDER EXATAMENTE O QUE TENHO QUE SUBSTITUIRAberto nota para substituir tanque danificado e chave de entrada fase B danificadaPARECER DMSL: Foi confirmado pela equipe DMSL o defeito do tanque, favor seguir com a substituição e correção da chave de entrada fase B danificada.</v>
      </c>
      <c r="M95" s="5">
        <v>5</v>
      </c>
      <c r="N95" s="5">
        <v>5</v>
      </c>
      <c r="O95" s="5">
        <v>0</v>
      </c>
      <c r="P95" s="5">
        <v>0</v>
      </c>
      <c r="Q95" s="5">
        <v>0</v>
      </c>
      <c r="R95" s="5">
        <v>10</v>
      </c>
      <c r="S95" s="5">
        <v>0</v>
      </c>
      <c r="T95" s="5">
        <v>0</v>
      </c>
      <c r="U95" s="5">
        <f>SUM(Table[[#This Row],[Premissa 1]:[Premissa 8]])</f>
        <v>20</v>
      </c>
      <c r="V95" s="5" t="s">
        <v>15</v>
      </c>
      <c r="W95" t="s">
        <v>339</v>
      </c>
    </row>
    <row r="96" spans="1:23" ht="15" customHeight="1">
      <c r="A96" s="4">
        <v>5862236091</v>
      </c>
      <c r="B96" s="5" t="str">
        <f>MID(Table[[#This Row],[Ativo]],1,2)</f>
        <v>58</v>
      </c>
      <c r="C96" s="5" t="s">
        <v>74</v>
      </c>
      <c r="D96" s="5" t="s">
        <v>75</v>
      </c>
      <c r="E96" s="5" t="s">
        <v>76</v>
      </c>
      <c r="F96" s="4" t="str">
        <f>IFERROR(_xlfn.XLOOKUP(Table[[#This Row],[Ativo]],Pendentes[COD_RELIGADOR],Pendentes[SS_ORIGINAL]),"CONCLUÍDA")</f>
        <v>ETO-RD-DP 00457/2026</v>
      </c>
      <c r="G96" s="5" t="s">
        <v>451</v>
      </c>
      <c r="H96" s="41"/>
      <c r="I96" s="4" t="s">
        <v>694</v>
      </c>
      <c r="J96" s="29" t="s">
        <v>444</v>
      </c>
      <c r="K96" s="31">
        <v>1</v>
      </c>
      <c r="L96" t="str">
        <f>IFERROR(_xlfn.XLOOKUP(Table[[#This Row],[Ativo]],Pendentes[COD_RELIGADOR],Pendentes[DESCRICAO]),"")</f>
        <v>20/07 PARECER COEP: EQUIPAMENTO ENTREGUE , FAVOR EDITAR A SS COM A DATA PREVISTA DE SUBSTITUIÇÃO NO PARECER DOS COCM´S Realizar substituição da FASE B.Célula da fase B estava com a tampa do contador de tape aberta, pegou chuva e molhou os contatos danificando a peça toda.</v>
      </c>
      <c r="M96" s="5">
        <v>0</v>
      </c>
      <c r="N96" s="5">
        <v>0</v>
      </c>
      <c r="O96" s="5">
        <v>0</v>
      </c>
      <c r="P96" s="5">
        <v>20</v>
      </c>
      <c r="Q96" s="5">
        <v>0</v>
      </c>
      <c r="R96" s="5" t="s">
        <v>45</v>
      </c>
      <c r="S96" s="5" t="s">
        <v>45</v>
      </c>
      <c r="T96" s="5" t="s">
        <v>45</v>
      </c>
      <c r="U96" s="5">
        <f>SUM(Table[[#This Row],[Premissa 1]:[Premissa 8]])</f>
        <v>20</v>
      </c>
      <c r="V96" s="5" t="s">
        <v>15</v>
      </c>
      <c r="W96" t="s">
        <v>343</v>
      </c>
    </row>
    <row r="97" spans="1:23" ht="15" customHeight="1">
      <c r="A97" s="12">
        <v>5836786094</v>
      </c>
      <c r="B97" s="5" t="str">
        <f>MID(Table[[#This Row],[Ativo]],1,2)</f>
        <v>58</v>
      </c>
      <c r="C97" s="5" t="s">
        <v>177</v>
      </c>
      <c r="D97" s="5" t="s">
        <v>177</v>
      </c>
      <c r="E97" s="5" t="s">
        <v>76</v>
      </c>
      <c r="F97" s="4" t="str">
        <f>IFERROR(_xlfn.XLOOKUP(Table[[#This Row],[Ativo]],Pendentes[COD_RELIGADOR],Pendentes[SS_ORIGINAL]),"CONCLUÍDA")</f>
        <v>ETO-COEP 00095/2026</v>
      </c>
      <c r="G97" s="4" t="s">
        <v>467</v>
      </c>
      <c r="H97" s="4" t="s">
        <v>575</v>
      </c>
      <c r="I97" s="4" t="s">
        <v>443</v>
      </c>
      <c r="J97" s="29" t="s">
        <v>444</v>
      </c>
      <c r="K97" s="31">
        <v>1</v>
      </c>
      <c r="L97" t="str">
        <f>IFERROR(_xlfn.XLOOKUP(Table[[#This Row],[Ativo]],Pendentes[COD_RELIGADOR],Pendentes[DESCRICAO]),"")</f>
        <v>24/07 PARECER COEP:EQUIPAMENTO EM LOGISTICA DE ENTREGA Favor levar outro regulador de tensão, pois o mesmo foi furtado em campo.</v>
      </c>
      <c r="M97" s="5">
        <v>0</v>
      </c>
      <c r="N97" s="5">
        <v>0</v>
      </c>
      <c r="O97" s="5">
        <v>0</v>
      </c>
      <c r="P97" s="5">
        <v>10</v>
      </c>
      <c r="Q97" s="5">
        <v>10</v>
      </c>
      <c r="R97" s="5" t="s">
        <v>45</v>
      </c>
      <c r="S97" s="5" t="s">
        <v>45</v>
      </c>
      <c r="T97" s="5" t="s">
        <v>45</v>
      </c>
      <c r="U97" s="5">
        <f>SUM(Table[[#This Row],[Premissa 1]:[Premissa 8]])</f>
        <v>20</v>
      </c>
      <c r="V97" s="5" t="s">
        <v>15</v>
      </c>
      <c r="W97" t="s">
        <v>346</v>
      </c>
    </row>
    <row r="98" spans="1:23" ht="15" customHeight="1">
      <c r="A98" s="4">
        <v>7919270014</v>
      </c>
      <c r="B98" s="5" t="str">
        <f>MID(Table[[#This Row],[Ativo]],1,2)</f>
        <v>79</v>
      </c>
      <c r="C98" s="5" t="s">
        <v>126</v>
      </c>
      <c r="D98" s="5" t="s">
        <v>97</v>
      </c>
      <c r="E98" s="5" t="s">
        <v>42</v>
      </c>
      <c r="F98" s="4" t="str">
        <f>IFERROR(_xlfn.XLOOKUP(Table[[#This Row],[Ativo]],Pendentes[COD_RELIGADOR],Pendentes[SS_ORIGINAL]),"CONCLUÍDA")</f>
        <v>ETO-RD-PS 00327/2026</v>
      </c>
      <c r="G98" s="4" t="s">
        <v>451</v>
      </c>
      <c r="I98" s="4" t="s">
        <v>694</v>
      </c>
      <c r="J98" s="29"/>
      <c r="K98" s="31"/>
      <c r="L98" t="str">
        <f>IFERROR(_xlfn.XLOOKUP(Table[[#This Row],[Ativo]],Pendentes[COD_RELIGADOR],Pendentes[DESCRICAO]),"")</f>
        <v>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Benvindo13/07/2026 PARECER COEP: SUBSTITUIÇÃO REALZIADA , FAVOR COMISSIONARPARECER DMSL (22/07/26): Solicito que o laudo de substituição seja anexado, e a SS seja repassada para proteção atribuir a ordem de ajuste, antes de repassar para ETO-TELE.----------------------------------------------PARECER DA PROTEÇÃO: Prosseguir com o comissionamento. Ajustes de religador permanecem os mesmos, disponíveis no APP da Proteção.********************************RELIGADOR N°7919270014 REMANEJADO NA OBRA 0212501060 GENTILEZA, REALIZAR O COMISSIONAMENTO. LAUDO EM ANEXO. COORD EO: 617422, 8830787</v>
      </c>
      <c r="M98" s="5">
        <v>5</v>
      </c>
      <c r="N98" s="5">
        <v>5</v>
      </c>
      <c r="O98" s="5">
        <v>0</v>
      </c>
      <c r="P98" s="5">
        <v>0</v>
      </c>
      <c r="Q98" s="5">
        <v>0</v>
      </c>
      <c r="R98" s="5">
        <v>10</v>
      </c>
      <c r="S98" s="5">
        <v>0</v>
      </c>
      <c r="T98" s="5">
        <v>0</v>
      </c>
      <c r="U98" s="5">
        <f>SUM(Table[[#This Row],[Premissa 1]:[Premissa 8]])</f>
        <v>20</v>
      </c>
      <c r="V98" s="5" t="s">
        <v>15</v>
      </c>
      <c r="W98" t="s">
        <v>350</v>
      </c>
    </row>
    <row r="99" spans="1:23" ht="15" customHeight="1">
      <c r="A99" s="4">
        <v>7926442035</v>
      </c>
      <c r="B99" s="5" t="str">
        <f>MID(Table[[#This Row],[Ativo]],1,2)</f>
        <v>79</v>
      </c>
      <c r="C99" s="5" t="s">
        <v>234</v>
      </c>
      <c r="D99" s="5" t="s">
        <v>108</v>
      </c>
      <c r="E99" s="5" t="s">
        <v>42</v>
      </c>
      <c r="F99" s="4" t="str">
        <f>IFERROR(_xlfn.XLOOKUP(Table[[#This Row],[Ativo]],Pendentes[COD_RELIGADOR],Pendentes[SS_ORIGINAL]),"CONCLUÍDA")</f>
        <v>ETO-COEP 00051/2026</v>
      </c>
      <c r="G99" s="4" t="s">
        <v>451</v>
      </c>
      <c r="H99" s="4" t="s">
        <v>718</v>
      </c>
      <c r="I99" s="4" t="s">
        <v>694</v>
      </c>
      <c r="J99" s="29" t="s">
        <v>720</v>
      </c>
      <c r="K99" s="31">
        <v>1</v>
      </c>
      <c r="L99" t="str">
        <f>IFERROR(_xlfn.XLOOKUP(Table[[#This Row],[Ativo]],Pendentes[COD_RELIGADOR],Pendentes[DESCRICAO]),"")</f>
        <v>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v>
      </c>
      <c r="M99" s="5">
        <v>5</v>
      </c>
      <c r="N99" s="5">
        <v>5</v>
      </c>
      <c r="O99" s="5">
        <v>0</v>
      </c>
      <c r="P99" s="5">
        <v>0</v>
      </c>
      <c r="Q99" s="5">
        <v>0</v>
      </c>
      <c r="R99" s="5">
        <v>0</v>
      </c>
      <c r="S99" s="5">
        <v>10</v>
      </c>
      <c r="T99" s="5">
        <v>0</v>
      </c>
      <c r="U99" s="5">
        <f>SUM(Table[[#This Row],[Premissa 1]:[Premissa 8]])</f>
        <v>20</v>
      </c>
      <c r="V99" s="5" t="s">
        <v>15</v>
      </c>
      <c r="W99" t="s">
        <v>353</v>
      </c>
    </row>
    <row r="100" spans="1:23" ht="15" customHeight="1">
      <c r="A100" s="4">
        <v>7954668084</v>
      </c>
      <c r="B100" s="5" t="str">
        <f>MID(Table[[#This Row],[Ativo]],1,2)</f>
        <v>79</v>
      </c>
      <c r="C100" s="5" t="s">
        <v>210</v>
      </c>
      <c r="D100" s="5" t="s">
        <v>210</v>
      </c>
      <c r="E100" s="5" t="s">
        <v>42</v>
      </c>
      <c r="F100" s="4" t="str">
        <f>IFERROR(_xlfn.XLOOKUP(Table[[#This Row],[Ativo]],Pendentes[COD_RELIGADOR],Pendentes[SS_ORIGINAL]),"CONCLUÍDA")</f>
        <v>CONCLUÍDA</v>
      </c>
      <c r="I100" s="4" t="s">
        <v>438</v>
      </c>
      <c r="J100" s="29"/>
      <c r="K100" s="31"/>
      <c r="L100" t="str">
        <f>IFERROR(_xlfn.XLOOKUP(Table[[#This Row],[Ativo]],Pendentes[COD_RELIGADOR],Pendentes[DESCRICAO]),"")</f>
        <v/>
      </c>
      <c r="M100" s="5">
        <v>5</v>
      </c>
      <c r="N100" s="5">
        <v>5</v>
      </c>
      <c r="O100" s="5">
        <v>0</v>
      </c>
      <c r="P100" s="5">
        <v>0</v>
      </c>
      <c r="Q100" s="5">
        <v>0</v>
      </c>
      <c r="R100" s="5">
        <v>0</v>
      </c>
      <c r="S100" s="5">
        <v>10</v>
      </c>
      <c r="T100" s="5">
        <v>0</v>
      </c>
      <c r="U100" s="5">
        <f>SUM(Table[[#This Row],[Premissa 1]:[Premissa 8]])</f>
        <v>20</v>
      </c>
      <c r="V100" s="5" t="s">
        <v>15</v>
      </c>
      <c r="W100" t="s">
        <v>554</v>
      </c>
    </row>
    <row r="101" spans="1:23" ht="15" customHeight="1">
      <c r="A101" s="4">
        <v>7938137007</v>
      </c>
      <c r="B101" s="5" t="str">
        <f>MID(Table[[#This Row],[Ativo]],1,2)</f>
        <v>79</v>
      </c>
      <c r="C101" s="5" t="s">
        <v>186</v>
      </c>
      <c r="D101" s="5" t="s">
        <v>186</v>
      </c>
      <c r="E101" s="5" t="s">
        <v>42</v>
      </c>
      <c r="F101" s="4" t="str">
        <f>IFERROR(_xlfn.XLOOKUP(Table[[#This Row],[Ativo]],Pendentes[COD_RELIGADOR],Pendentes[SS_ORIGINAL]),"CONCLUÍDA")</f>
        <v>ETO-COEP 00144/2026</v>
      </c>
      <c r="G101" s="5" t="s">
        <v>451</v>
      </c>
      <c r="I101" s="4" t="s">
        <v>694</v>
      </c>
      <c r="J101" s="29" t="s">
        <v>727</v>
      </c>
      <c r="K101" s="31">
        <v>1</v>
      </c>
      <c r="L101" t="str">
        <f>IFERROR(_xlfn.XLOOKUP(Table[[#This Row],[Ativo]],Pendentes[COD_RELIGADOR],Pendentes[DESCRICAO]),"")</f>
        <v>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 Material ainda não foi entregue para substituição 15/07/2026</v>
      </c>
      <c r="M101" s="5">
        <v>5</v>
      </c>
      <c r="N101" s="5">
        <v>5</v>
      </c>
      <c r="O101" s="5">
        <v>5</v>
      </c>
      <c r="P101" s="5">
        <v>0</v>
      </c>
      <c r="Q101" s="5">
        <v>0</v>
      </c>
      <c r="R101" s="5">
        <v>0</v>
      </c>
      <c r="S101" s="5">
        <v>0</v>
      </c>
      <c r="T101" s="5">
        <v>0</v>
      </c>
      <c r="U101" s="5">
        <f>SUM(Table[[#This Row],[Premissa 1]:[Premissa 8]])</f>
        <v>15</v>
      </c>
      <c r="V101" s="5" t="s">
        <v>15</v>
      </c>
      <c r="W101" t="s">
        <v>356</v>
      </c>
    </row>
    <row r="102" spans="1:23" ht="15" customHeight="1">
      <c r="A102" s="12">
        <v>5856156091</v>
      </c>
      <c r="B102" s="5" t="str">
        <f>MID(Table[[#This Row],[Ativo]],1,2)</f>
        <v>58</v>
      </c>
      <c r="C102" s="5" t="s">
        <v>74</v>
      </c>
      <c r="D102" s="5" t="s">
        <v>75</v>
      </c>
      <c r="E102" s="5" t="s">
        <v>76</v>
      </c>
      <c r="F102" s="4" t="str">
        <f>IFERROR(_xlfn.XLOOKUP(Table[[#This Row],[Ativo]],Pendentes[COD_RELIGADOR],Pendentes[SS_ORIGINAL]),"CONCLUÍDA")</f>
        <v>ETO-RD-DP 00403/2026</v>
      </c>
      <c r="G102" s="5" t="s">
        <v>451</v>
      </c>
      <c r="H102" s="4" t="s">
        <v>706</v>
      </c>
      <c r="I102" s="4" t="s">
        <v>694</v>
      </c>
      <c r="J102" s="29" t="s">
        <v>462</v>
      </c>
      <c r="K102" s="31">
        <v>3</v>
      </c>
      <c r="L102" t="str">
        <f>IFERROR(_xlfn.XLOOKUP(Table[[#This Row],[Ativo]],Pendentes[COD_RELIGADOR],Pendentes[DESCRICAO]),"")</f>
        <v>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v>
      </c>
      <c r="M102" s="5">
        <v>0</v>
      </c>
      <c r="N102" s="5">
        <v>0</v>
      </c>
      <c r="O102" s="5">
        <v>0</v>
      </c>
      <c r="P102" s="5">
        <v>0</v>
      </c>
      <c r="Q102" s="5">
        <v>0</v>
      </c>
      <c r="R102" s="5" t="s">
        <v>45</v>
      </c>
      <c r="S102" s="5" t="s">
        <v>45</v>
      </c>
      <c r="T102" s="5" t="s">
        <v>45</v>
      </c>
      <c r="U102" s="5">
        <f>SUM(Table[[#This Row],[Premissa 1]:[Premissa 8]])</f>
        <v>0</v>
      </c>
      <c r="V102" s="5" t="s">
        <v>15</v>
      </c>
      <c r="W102" t="s">
        <v>359</v>
      </c>
    </row>
    <row r="103" spans="1:23" ht="15" customHeight="1">
      <c r="A103" s="12">
        <v>5858783119</v>
      </c>
      <c r="B103" s="5" t="str">
        <f>MID(Table[[#This Row],[Ativo]],1,2)</f>
        <v>58</v>
      </c>
      <c r="C103" s="5" t="s">
        <v>361</v>
      </c>
      <c r="D103" s="5" t="s">
        <v>223</v>
      </c>
      <c r="E103" s="5" t="s">
        <v>51</v>
      </c>
      <c r="F103" s="4" t="str">
        <f>IFERROR(_xlfn.XLOOKUP(Table[[#This Row],[Ativo]],Pendentes[COD_RELIGADOR],Pendentes[SS_ORIGINAL]),"CONCLUÍDA")</f>
        <v>ETO-TELE 01032/2026</v>
      </c>
      <c r="G103" s="4" t="s">
        <v>576</v>
      </c>
      <c r="I103" s="4" t="s">
        <v>694</v>
      </c>
      <c r="J103" s="29"/>
      <c r="K103" s="31"/>
      <c r="L103" t="str">
        <f>IFERROR(_xlfn.XLOOKUP(Table[[#This Row],[Ativo]],Pendentes[COD_RELIGADOR],Pendentes[DESCRICAO]),"")</f>
        <v>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v>
      </c>
      <c r="M103" s="5">
        <v>0</v>
      </c>
      <c r="N103" s="5">
        <v>0</v>
      </c>
      <c r="O103" s="5">
        <v>0</v>
      </c>
      <c r="P103" s="5">
        <v>0</v>
      </c>
      <c r="Q103" s="5">
        <v>0</v>
      </c>
      <c r="R103" s="5" t="s">
        <v>45</v>
      </c>
      <c r="S103" s="5" t="s">
        <v>45</v>
      </c>
      <c r="T103" s="5" t="s">
        <v>45</v>
      </c>
      <c r="U103" s="5">
        <f>SUM(Table[[#This Row],[Premissa 1]:[Premissa 8]])</f>
        <v>0</v>
      </c>
      <c r="V103" s="5" t="s">
        <v>15</v>
      </c>
      <c r="W103" t="s">
        <v>707</v>
      </c>
    </row>
    <row r="104" spans="1:23" s="46" customFormat="1" ht="15" customHeight="1">
      <c r="A104" s="12">
        <v>7900532053</v>
      </c>
      <c r="B104" s="43" t="str">
        <f>MID(Table[[#This Row],[Ativo]],1,2)</f>
        <v>79</v>
      </c>
      <c r="C104" s="43" t="s">
        <v>560</v>
      </c>
      <c r="D104" s="43" t="s">
        <v>223</v>
      </c>
      <c r="E104" s="43" t="s">
        <v>51</v>
      </c>
      <c r="F104" s="12" t="str">
        <f>IFERROR(_xlfn.XLOOKUP(Table[[#This Row],[Ativo]],Pendentes[COD_RELIGADOR],Pendentes[SS_ORIGINAL]),"CONCLUÍDA")</f>
        <v>CONCLUÍDA</v>
      </c>
      <c r="G104" s="12" t="s">
        <v>561</v>
      </c>
      <c r="H104" s="12"/>
      <c r="I104" s="12"/>
      <c r="J104" s="44" t="s">
        <v>453</v>
      </c>
      <c r="K104" s="45"/>
      <c r="L104" s="46" t="str">
        <f>IFERROR(_xlfn.XLOOKUP(Table[[#This Row],[Ativo]],Pendentes[COD_RELIGADOR],Pendentes[DESCRICAO]),"")</f>
        <v/>
      </c>
      <c r="M104" s="43">
        <v>0</v>
      </c>
      <c r="N104" s="43">
        <v>0</v>
      </c>
      <c r="O104" s="43">
        <v>0</v>
      </c>
      <c r="P104" s="43">
        <v>0</v>
      </c>
      <c r="Q104" s="43">
        <v>0</v>
      </c>
      <c r="R104" s="43">
        <v>0</v>
      </c>
      <c r="S104" s="43">
        <v>0</v>
      </c>
      <c r="T104" s="43">
        <v>0</v>
      </c>
      <c r="U104" s="43">
        <f>SUM(Table[[#This Row],[Premissa 1]:[Premissa 8]])</f>
        <v>0</v>
      </c>
      <c r="V104" s="43" t="s">
        <v>15</v>
      </c>
      <c r="W104" s="46" t="s">
        <v>562</v>
      </c>
    </row>
    <row r="105" spans="1:23" ht="15" customHeight="1">
      <c r="A105" s="4">
        <v>7925713040</v>
      </c>
      <c r="B105" s="5" t="str">
        <f>MID(Table[[#This Row],[Ativo]],1,2)</f>
        <v>79</v>
      </c>
      <c r="C105" s="5" t="s">
        <v>492</v>
      </c>
      <c r="D105" s="5" t="s">
        <v>57</v>
      </c>
      <c r="E105" s="5" t="s">
        <v>51</v>
      </c>
      <c r="F105" s="4" t="str">
        <f>IFERROR(_xlfn.XLOOKUP(Table[[#This Row],[Ativo]],Pendentes[COD_RELIGADOR],Pendentes[SS_ORIGINAL]),"CONCLUÍDA")</f>
        <v>CONCLUÍDA</v>
      </c>
      <c r="J105" s="29"/>
      <c r="K105" s="31"/>
      <c r="L105" t="str">
        <f>IFERROR(_xlfn.XLOOKUP(Table[[#This Row],[Ativo]],Pendentes[COD_RELIGADOR],Pendentes[DESCRICAO]),"")</f>
        <v/>
      </c>
      <c r="M105" s="5" t="s">
        <v>696</v>
      </c>
      <c r="N105" s="5"/>
      <c r="O105" s="5"/>
      <c r="P105" s="5"/>
      <c r="Q105" s="5"/>
      <c r="R105" s="5"/>
      <c r="S105" s="5"/>
      <c r="T105" s="5"/>
      <c r="U105" s="5">
        <f>SUM(Table[[#This Row],[Premissa 1]:[Premissa 8]])</f>
        <v>0</v>
      </c>
      <c r="V105" s="5"/>
    </row>
    <row r="106" spans="1:23" ht="15" customHeight="1">
      <c r="A106" s="4">
        <v>7948412064</v>
      </c>
      <c r="B106" s="5" t="str">
        <f>MID(Table[[#This Row],[Ativo]],1,2)</f>
        <v>79</v>
      </c>
      <c r="C106" s="5" t="s">
        <v>563</v>
      </c>
      <c r="D106" s="5" t="s">
        <v>50</v>
      </c>
      <c r="E106" s="5" t="s">
        <v>51</v>
      </c>
      <c r="F106" s="4" t="str">
        <f>IFERROR(_xlfn.XLOOKUP(Table[[#This Row],[Ativo]],Pendentes[COD_RELIGADOR],Pendentes[SS_ORIGINAL]),"CONCLUÍDA")</f>
        <v>CONCLUÍDA</v>
      </c>
      <c r="J106" s="29"/>
      <c r="K106" s="31"/>
      <c r="L106" t="str">
        <f>IFERROR(_xlfn.XLOOKUP(Table[[#This Row],[Ativo]],Pendentes[COD_RELIGADOR],Pendentes[DESCRICAO]),"")</f>
        <v/>
      </c>
      <c r="M106" s="5" t="s">
        <v>696</v>
      </c>
      <c r="N106" s="5"/>
      <c r="O106" s="5"/>
      <c r="P106" s="5"/>
      <c r="Q106" s="5"/>
      <c r="R106" s="5"/>
      <c r="S106" s="5"/>
      <c r="T106" s="5"/>
      <c r="U106" s="5">
        <f>SUM(Table[[#This Row],[Premissa 1]:[Premissa 8]])</f>
        <v>0</v>
      </c>
      <c r="V106" s="5"/>
    </row>
    <row r="107" spans="1:23" ht="15" customHeight="1">
      <c r="A107" s="39">
        <v>7955832052</v>
      </c>
      <c r="B107" s="5" t="str">
        <f>MID(Table[[#This Row],[Ativo]],1,2)</f>
        <v>79</v>
      </c>
      <c r="C107" s="5" t="s">
        <v>192</v>
      </c>
      <c r="D107" s="5" t="s">
        <v>192</v>
      </c>
      <c r="E107" s="5" t="s">
        <v>76</v>
      </c>
      <c r="F107" s="4" t="str">
        <f>IFERROR(_xlfn.XLOOKUP(Table[[#This Row],[Ativo]],Pendentes[COD_RELIGADOR],Pendentes[SS_ORIGINAL]),"CONCLUÍDA")</f>
        <v>ETO-TELE 00982/2026</v>
      </c>
      <c r="J107" s="29"/>
      <c r="K107" s="31"/>
      <c r="L107" t="str">
        <f>IFERROR(_xlfn.XLOOKUP(Table[[#This Row],[Ativo]],Pendentes[COD_RELIGADOR],Pendentes[DESCRICAO]),"")</f>
        <v>SEGUE SOLICITAÇÃO DE SERVIÇO PARA REALIZAR VERIFICAÇÃO DO RL 7955832052 EQUIPAMENTO DE INTEELIGAÇÃO O MESMO ESTA SEM COMUNICAÇÃO ...FOI REALIZADO PRIMEIRO ATAQUE COM EQUIPE SINERGIA DE FORMOSO EO EQUIPAMENTO NÃO VOLTOU</v>
      </c>
      <c r="M107" s="5" t="s">
        <v>696</v>
      </c>
      <c r="N107" s="5"/>
      <c r="O107" s="5"/>
      <c r="P107" s="5"/>
      <c r="Q107" s="5"/>
      <c r="R107" s="5"/>
      <c r="S107" s="5"/>
      <c r="T107" s="5"/>
      <c r="U107" s="5">
        <f>SUM(Table[[#This Row],[Premissa 1]:[Premissa 8]])</f>
        <v>0</v>
      </c>
      <c r="V107" s="5"/>
    </row>
    <row r="108" spans="1:23" ht="15" customHeight="1">
      <c r="A108" s="4">
        <v>7930359149</v>
      </c>
      <c r="B108" s="5" t="str">
        <f>MID(Table[[#This Row],[Ativo]],1,2)</f>
        <v>79</v>
      </c>
      <c r="C108" s="5" t="s">
        <v>257</v>
      </c>
      <c r="D108" s="5" t="s">
        <v>210</v>
      </c>
      <c r="E108" s="5" t="s">
        <v>42</v>
      </c>
      <c r="F108" s="4" t="str">
        <f>IFERROR(_xlfn.XLOOKUP(Table[[#This Row],[Ativo]],Pendentes[COD_RELIGADOR],Pendentes[SS_ORIGINAL]),"CONCLUÍDA")</f>
        <v>ETO-COEP 00138/2026</v>
      </c>
      <c r="J108" s="29"/>
      <c r="K108" s="31"/>
      <c r="L108" t="str">
        <f>IFERROR(_xlfn.XLOOKUP(Table[[#This Row],[Ativo]],Pendentes[COD_RELIGADOR],Pendentes[DESCRICAO]),"")</f>
        <v>PARECER DMSL 07/07/2026: equipamento tem que ser subistuido pois não faz comando, parte ativa com defeito FEITO O PRIMEIRO ATAQUE NO RELIGADOR 7930359149 E MESMO NÃO ACEITA COMANDO NEM LOCAL E NEM REMOTO SEGUNDO EQUIPE 149OP02 E PLACA DO RL ESTA CARBONIZADA COM SINAL DE CURTO.</v>
      </c>
      <c r="M108" s="5" t="s">
        <v>696</v>
      </c>
      <c r="N108" s="5"/>
      <c r="O108" s="5"/>
      <c r="P108" s="5"/>
      <c r="Q108" s="5"/>
      <c r="R108" s="5"/>
      <c r="S108" s="5"/>
      <c r="T108" s="5"/>
      <c r="U108" s="5">
        <f>SUM(Table[[#This Row],[Premissa 1]:[Premissa 8]])</f>
        <v>0</v>
      </c>
      <c r="V108" s="5"/>
    </row>
    <row r="109" spans="1:23" ht="15" customHeight="1">
      <c r="A109" s="39">
        <v>7902098003</v>
      </c>
      <c r="B109" s="5" t="str">
        <f>MID(Table[[#This Row],[Ativo]],1,2)</f>
        <v>79</v>
      </c>
      <c r="C109" s="5" t="s">
        <v>336</v>
      </c>
      <c r="D109" s="5" t="s">
        <v>336</v>
      </c>
      <c r="E109" s="5" t="s">
        <v>76</v>
      </c>
      <c r="F109" s="4" t="str">
        <f>IFERROR(_xlfn.XLOOKUP(Table[[#This Row],[Ativo]],Pendentes[COD_RELIGADOR],Pendentes[SS_ORIGINAL]),"CONCLUÍDA")</f>
        <v>ETO-TELE 00932/2026</v>
      </c>
      <c r="J109" s="29"/>
      <c r="K109" s="31"/>
      <c r="L109" t="str">
        <f>IFERROR(_xlfn.XLOOKUP(Table[[#This Row],[Ativo]],Pendentes[COD_RELIGADOR],Pendentes[DESCRICAO]),"")</f>
        <v>Segue SS de religador 7902098003 sem comunicação. Foi realizado o primeiro ataque porem o mesmo não retornou a comunicação.</v>
      </c>
      <c r="M109" s="5" t="s">
        <v>696</v>
      </c>
      <c r="N109" s="5"/>
      <c r="O109" s="5"/>
      <c r="P109" s="5"/>
      <c r="Q109" s="5"/>
      <c r="R109" s="5"/>
      <c r="S109" s="5"/>
      <c r="T109" s="5"/>
      <c r="U109" s="5">
        <f>SUM(Table[[#This Row],[Premissa 1]:[Premissa 8]])</f>
        <v>0</v>
      </c>
      <c r="V109" s="5"/>
    </row>
    <row r="110" spans="1:23" ht="15" customHeight="1">
      <c r="A110" s="4">
        <v>7953211079</v>
      </c>
      <c r="B110" s="5" t="str">
        <f>MID(Table[[#This Row],[Ativo]],1,2)</f>
        <v>79</v>
      </c>
      <c r="C110" s="5" t="s">
        <v>376</v>
      </c>
      <c r="D110" s="5" t="s">
        <v>50</v>
      </c>
      <c r="E110" s="5" t="s">
        <v>51</v>
      </c>
      <c r="F110" s="4" t="str">
        <f>IFERROR(_xlfn.XLOOKUP(Table[[#This Row],[Ativo]],Pendentes[COD_RELIGADOR],Pendentes[SS_ORIGINAL]),"CONCLUÍDA")</f>
        <v>ETO-COEP 00147/2026</v>
      </c>
      <c r="J110" s="29"/>
      <c r="K110" s="31"/>
      <c r="L110" t="str">
        <f>IFERROR(_xlfn.XLOOKUP(Table[[#This Row],[Ativo]],Pendentes[COD_RELIGADOR],Pendentes[DESCRICAO]),"")</f>
        <v>20/07 PARECER COEP: EQUIPAMENTO SELECIONADO PARA COMPRASegue nota para substituir relé religador avariado marca noja , equipamento N: 7953211079 - Itapiratins .Obs: informação repassado pelo técnico DMSL Bruno .</v>
      </c>
      <c r="M110" s="5" t="s">
        <v>696</v>
      </c>
      <c r="N110" s="5"/>
      <c r="O110" s="5"/>
      <c r="P110" s="5"/>
      <c r="Q110" s="5"/>
      <c r="R110" s="5"/>
      <c r="S110" s="5"/>
      <c r="T110" s="5"/>
      <c r="U110" s="5">
        <f>SUM(Table[[#This Row],[Premissa 1]:[Premissa 8]])</f>
        <v>0</v>
      </c>
      <c r="V110" s="5"/>
    </row>
    <row r="111" spans="1:23" ht="15" customHeight="1">
      <c r="A111" s="4">
        <v>7949648145</v>
      </c>
      <c r="B111" s="5" t="str">
        <f>MID(Table[[#This Row],[Ativo]],1,2)</f>
        <v>79</v>
      </c>
      <c r="C111" s="5" t="s">
        <v>380</v>
      </c>
      <c r="D111" s="5" t="s">
        <v>132</v>
      </c>
      <c r="E111" s="5" t="s">
        <v>51</v>
      </c>
      <c r="F111" s="4" t="str">
        <f>IFERROR(_xlfn.XLOOKUP(Table[[#This Row],[Ativo]],Pendentes[COD_RELIGADOR],Pendentes[SS_ORIGINAL]),"CONCLUÍDA")</f>
        <v>ETO-TELE 00929/2026</v>
      </c>
      <c r="J111" s="29"/>
      <c r="K111" s="31"/>
      <c r="L111" t="str">
        <f>IFERROR(_xlfn.XLOOKUP(Table[[#This Row],[Ativo]],Pendentes[COD_RELIGADOR],Pendentes[DESCRICAO]),"")</f>
        <v>FEITO PRIMEIRO ATAQUE COM A EQUIPE LOCAL E NÃO VOLTOU A COMUNICAR. PROVIDENCIAR MANUTENÇÃO PARA O MESMO.</v>
      </c>
      <c r="M111" s="5" t="s">
        <v>696</v>
      </c>
      <c r="N111" s="5"/>
      <c r="O111" s="5"/>
      <c r="P111" s="5"/>
      <c r="Q111" s="5"/>
      <c r="R111" s="5"/>
      <c r="S111" s="5"/>
      <c r="T111" s="5"/>
      <c r="U111" s="5">
        <f>SUM(Table[[#This Row],[Premissa 1]:[Premissa 8]])</f>
        <v>0</v>
      </c>
      <c r="V111" s="5"/>
    </row>
    <row r="112" spans="1:23" ht="15" customHeight="1">
      <c r="A112" s="39">
        <v>7957021094</v>
      </c>
      <c r="B112" s="5" t="str">
        <f>MID(Table[[#This Row],[Ativo]],1,2)</f>
        <v>79</v>
      </c>
      <c r="C112" s="5" t="s">
        <v>177</v>
      </c>
      <c r="D112" s="5" t="s">
        <v>177</v>
      </c>
      <c r="E112" s="5" t="s">
        <v>76</v>
      </c>
      <c r="F112" s="4" t="str">
        <f>IFERROR(_xlfn.XLOOKUP(Table[[#This Row],[Ativo]],Pendentes[COD_RELIGADOR],Pendentes[SS_ORIGINAL]),"CONCLUÍDA")</f>
        <v>CONCLUÍDA</v>
      </c>
      <c r="J112" s="29"/>
      <c r="K112" s="31"/>
      <c r="L112" t="str">
        <f>IFERROR(_xlfn.XLOOKUP(Table[[#This Row],[Ativo]],Pendentes[COD_RELIGADOR],Pendentes[DESCRICAO]),"")</f>
        <v/>
      </c>
      <c r="M112" s="5" t="s">
        <v>696</v>
      </c>
      <c r="N112" s="5"/>
      <c r="O112" s="5"/>
      <c r="P112" s="5"/>
      <c r="Q112" s="5"/>
      <c r="R112" s="5"/>
      <c r="S112" s="5"/>
      <c r="T112" s="5"/>
      <c r="U112" s="5">
        <f>SUM(Table[[#This Row],[Premissa 1]:[Premissa 8]])</f>
        <v>0</v>
      </c>
      <c r="V112" s="5"/>
    </row>
    <row r="113" spans="1:22" ht="15" customHeight="1">
      <c r="A113" s="4">
        <v>7908300096</v>
      </c>
      <c r="B113" s="5" t="str">
        <f>MID(Table[[#This Row],[Ativo]],1,2)</f>
        <v>79</v>
      </c>
      <c r="C113" s="5" t="s">
        <v>316</v>
      </c>
      <c r="D113" s="5" t="s">
        <v>108</v>
      </c>
      <c r="E113" s="5" t="s">
        <v>42</v>
      </c>
      <c r="F113" s="4" t="str">
        <f>IFERROR(_xlfn.XLOOKUP(Table[[#This Row],[Ativo]],Pendentes[COD_RELIGADOR],Pendentes[SS_ORIGINAL]),"CONCLUÍDA")</f>
        <v>ETO-TELE 00938/2026</v>
      </c>
      <c r="J113" s="29"/>
      <c r="K113" s="31"/>
      <c r="L113" t="str">
        <f>IFERROR(_xlfn.XLOOKUP(Table[[#This Row],[Ativo]],Pendentes[COD_RELIGADOR],Pendentes[DESCRICAO]),"")</f>
        <v>Segue nota para verificar falha intermitência na comunicação RL 7908300096 RDU- Pindorama .</v>
      </c>
      <c r="M113" s="5" t="s">
        <v>696</v>
      </c>
      <c r="N113" s="5"/>
      <c r="O113" s="5"/>
      <c r="P113" s="5"/>
      <c r="Q113" s="5"/>
      <c r="R113" s="5"/>
      <c r="S113" s="5"/>
      <c r="T113" s="5"/>
      <c r="U113" s="5">
        <f>SUM(Table[[#This Row],[Premissa 1]:[Premissa 8]])</f>
        <v>0</v>
      </c>
      <c r="V113" s="5"/>
    </row>
    <row r="114" spans="1:22" ht="15" customHeight="1">
      <c r="A114" s="4">
        <v>7953570026</v>
      </c>
      <c r="B114" s="5" t="str">
        <f>MID(Table[[#This Row],[Ativo]],1,2)</f>
        <v>79</v>
      </c>
      <c r="C114" s="5" t="s">
        <v>108</v>
      </c>
      <c r="D114" s="5" t="s">
        <v>108</v>
      </c>
      <c r="E114" s="5" t="s">
        <v>42</v>
      </c>
      <c r="F114" s="4" t="str">
        <f>IFERROR(_xlfn.XLOOKUP(Table[[#This Row],[Ativo]],Pendentes[COD_RELIGADOR],Pendentes[SS_ORIGINAL]),"CONCLUÍDA")</f>
        <v>ETO-TELE 00892/2026</v>
      </c>
      <c r="J114" s="29"/>
      <c r="K114" s="31"/>
      <c r="L114" t="str">
        <f>IFERROR(_xlfn.XLOOKUP(Table[[#This Row],[Ativo]],Pendentes[COD_RELIGADOR],Pendentes[DESCRICAO]),"")</f>
        <v>Segue RL 7953570026 O MESMO FOI FEITO PRIMEIRO ATAQUE, painel do religador acendeu porem não voltou a comunicação junto ao SCADA, equipe fez teste em comando local, tudo normal porem sem retorno de comunicação, rl na SE DE PONTE ALTA</v>
      </c>
      <c r="M114" s="5" t="s">
        <v>696</v>
      </c>
      <c r="N114" s="5"/>
      <c r="O114" s="5"/>
      <c r="P114" s="5"/>
      <c r="Q114" s="5"/>
      <c r="R114" s="5"/>
      <c r="S114" s="5"/>
      <c r="T114" s="5"/>
      <c r="U114" s="5">
        <f>SUM(Table[[#This Row],[Premissa 1]:[Premissa 8]])</f>
        <v>0</v>
      </c>
      <c r="V114" s="5"/>
    </row>
    <row r="115" spans="1:22" ht="15" customHeight="1">
      <c r="A115" s="4">
        <v>7911120026</v>
      </c>
      <c r="B115" s="5" t="str">
        <f>MID(Table[[#This Row],[Ativo]],1,2)</f>
        <v>79</v>
      </c>
      <c r="C115" s="5" t="s">
        <v>108</v>
      </c>
      <c r="D115" s="5" t="s">
        <v>108</v>
      </c>
      <c r="E115" s="5" t="s">
        <v>42</v>
      </c>
      <c r="F115" s="4" t="str">
        <f>IFERROR(_xlfn.XLOOKUP(Table[[#This Row],[Ativo]],Pendentes[COD_RELIGADOR],Pendentes[SS_ORIGINAL]),"CONCLUÍDA")</f>
        <v>DG-RD-PO 00444/2026</v>
      </c>
      <c r="G115" s="4" t="s">
        <v>717</v>
      </c>
      <c r="H115" s="4" t="s">
        <v>497</v>
      </c>
      <c r="J115" s="29"/>
      <c r="K115" s="31"/>
      <c r="L115" t="str">
        <f>IFERROR(_xlfn.XLOOKUP(Table[[#This Row],[Ativo]],Pendentes[COD_RELIGADOR],Pendentes[DESCRICAO]),"")</f>
        <v>Segue nota para recuperar malha de aterramento no RL 7911120026 RDU- Ponte Alta .OBS: Provavelmente foi furtado cabos de aterramento   .</v>
      </c>
      <c r="M115" s="5" t="s">
        <v>696</v>
      </c>
      <c r="N115" s="5"/>
      <c r="O115" s="5"/>
      <c r="P115" s="5"/>
      <c r="Q115" s="5"/>
      <c r="R115" s="5"/>
      <c r="S115" s="5"/>
      <c r="T115" s="5"/>
      <c r="U115" s="5">
        <f>SUM(Table[[#This Row],[Premissa 1]:[Premissa 8]])</f>
        <v>0</v>
      </c>
      <c r="V115" s="5"/>
    </row>
    <row r="116" spans="1:22" ht="15" customHeight="1">
      <c r="A116" s="39">
        <v>5820790038</v>
      </c>
      <c r="B116" s="5" t="str">
        <f>MID(Table[[#This Row],[Ativo]],1,2)</f>
        <v>58</v>
      </c>
      <c r="C116" s="5" t="s">
        <v>564</v>
      </c>
      <c r="D116" s="5" t="s">
        <v>75</v>
      </c>
      <c r="E116" s="5" t="s">
        <v>76</v>
      </c>
      <c r="F116" s="4" t="str">
        <f>IFERROR(_xlfn.XLOOKUP(Table[[#This Row],[Ativo]],Pendentes[COD_RELIGADOR],Pendentes[SS_ORIGINAL]),"CONCLUÍDA")</f>
        <v>CONCLUÍDA</v>
      </c>
      <c r="J116" s="29"/>
      <c r="K116" s="31"/>
      <c r="L116" t="str">
        <f>IFERROR(_xlfn.XLOOKUP(Table[[#This Row],[Ativo]],Pendentes[COD_RELIGADOR],Pendentes[DESCRICAO]),"")</f>
        <v/>
      </c>
      <c r="M116" s="5" t="s">
        <v>696</v>
      </c>
      <c r="N116" s="5"/>
      <c r="O116" s="5"/>
      <c r="P116" s="5"/>
      <c r="Q116" s="5"/>
      <c r="R116" s="5"/>
      <c r="S116" s="5"/>
      <c r="T116" s="5"/>
      <c r="U116" s="5">
        <f>SUM(Table[[#This Row],[Premissa 1]:[Premissa 8]])</f>
        <v>0</v>
      </c>
      <c r="V116" s="5"/>
    </row>
    <row r="117" spans="1:22" ht="15" customHeight="1">
      <c r="A117" s="4">
        <v>7934697002</v>
      </c>
      <c r="B117" s="5" t="str">
        <f>MID(Table[[#This Row],[Ativo]],1,2)</f>
        <v>79</v>
      </c>
      <c r="C117" s="5" t="s">
        <v>223</v>
      </c>
      <c r="D117" s="5" t="s">
        <v>223</v>
      </c>
      <c r="E117" s="5" t="s">
        <v>51</v>
      </c>
      <c r="F117" s="4" t="str">
        <f>IFERROR(_xlfn.XLOOKUP(Table[[#This Row],[Ativo]],Pendentes[COD_RELIGADOR],Pendentes[SS_ORIGINAL]),"CONCLUÍDA")</f>
        <v>CONCLUÍDA</v>
      </c>
      <c r="J117" s="29"/>
      <c r="K117" s="31"/>
      <c r="L117" t="str">
        <f>IFERROR(_xlfn.XLOOKUP(Table[[#This Row],[Ativo]],Pendentes[COD_RELIGADOR],Pendentes[DESCRICAO]),"")</f>
        <v/>
      </c>
      <c r="M117" s="5" t="s">
        <v>696</v>
      </c>
      <c r="N117" s="5"/>
      <c r="O117" s="5"/>
      <c r="P117" s="5"/>
      <c r="Q117" s="5"/>
      <c r="R117" s="5"/>
      <c r="S117" s="5"/>
      <c r="T117" s="5"/>
      <c r="U117" s="5">
        <f>SUM(Table[[#This Row],[Premissa 1]:[Premissa 8]])</f>
        <v>0</v>
      </c>
      <c r="V117" s="5"/>
    </row>
    <row r="118" spans="1:22" ht="15" customHeight="1">
      <c r="A118" s="4">
        <v>7908716091</v>
      </c>
      <c r="B118" s="5" t="str">
        <f>MID(Table[[#This Row],[Ativo]],1,2)</f>
        <v>79</v>
      </c>
      <c r="F118" s="4" t="str">
        <f>IFERROR(_xlfn.XLOOKUP(Table[[#This Row],[Ativo]],Pendentes[COD_RELIGADOR],Pendentes[SS_ORIGINAL]),"CONCLUÍDA")</f>
        <v>ETO-TELE 01019/2026</v>
      </c>
      <c r="G118" s="4" t="s">
        <v>698</v>
      </c>
      <c r="J118" s="29"/>
      <c r="K118" s="31"/>
      <c r="L118" t="str">
        <f>IFERROR(_xlfn.XLOOKUP(Table[[#This Row],[Ativo]],Pendentes[COD_RELIGADOR],Pendentes[DESCRICAO]),"")</f>
        <v>Segue nota para verificar falha de comunicação no religador 7908716091 - Rural -  Almas  .Equipamento perdeu a comunicação quando faltou CA , porém mesmo ao retorna o CA não retornou à comunicação !</v>
      </c>
      <c r="M118" s="5"/>
      <c r="N118" s="5"/>
      <c r="O118" s="5"/>
      <c r="P118" s="5"/>
      <c r="Q118" s="5"/>
      <c r="R118" s="5"/>
      <c r="S118" s="5"/>
      <c r="T118" s="5"/>
      <c r="U118" s="5">
        <f>SUM(Table[[#This Row],[Premissa 1]:[Premissa 8]])</f>
        <v>0</v>
      </c>
      <c r="V118" s="5"/>
    </row>
    <row r="119" spans="1:22" ht="15" customHeight="1">
      <c r="A119" s="4">
        <v>5848305116</v>
      </c>
      <c r="B119" s="5" t="str">
        <f>MID(Table[[#This Row],[Ativo]],1,2)</f>
        <v>58</v>
      </c>
      <c r="F119" s="4" t="str">
        <f>IFERROR(_xlfn.XLOOKUP(Table[[#This Row],[Ativo]],Pendentes[COD_RELIGADOR],Pendentes[SS_ORIGINAL]),"CONCLUÍDA")</f>
        <v>ETO-TELE 01005/2026</v>
      </c>
      <c r="G119" s="4" t="s">
        <v>698</v>
      </c>
      <c r="J119" s="29"/>
      <c r="K119" s="31"/>
      <c r="L119" t="str">
        <f>IFERROR(_xlfn.XLOOKUP(Table[[#This Row],[Ativo]],Pendentes[COD_RELIGADOR],Pendentes[DESCRICAO]),"")</f>
        <v>Segue nota para verificar falha e constantes travamento no regulador de tensão 5848305116 - chapada da Natividade .Foi identificado que regulador está com divergência em TAP"S analógico e digital .Foi executado comandos no relé para comutar TAP na fase AB foi executado no relé , porém não alterou analógico e nem fez barulho algum , a princípio a fase C está normal .</v>
      </c>
      <c r="M119" s="5"/>
      <c r="N119" s="5"/>
      <c r="O119" s="5"/>
      <c r="P119" s="5"/>
      <c r="Q119" s="5"/>
      <c r="R119" s="5"/>
      <c r="S119" s="5"/>
      <c r="T119" s="5"/>
      <c r="U119" s="5">
        <f>SUM(Table[[#This Row],[Premissa 1]:[Premissa 8]])</f>
        <v>0</v>
      </c>
      <c r="V119" s="5"/>
    </row>
    <row r="120" spans="1:22" ht="15" customHeight="1">
      <c r="A120" s="4">
        <v>7961368005</v>
      </c>
      <c r="B120" s="5" t="str">
        <f>MID(Table[[#This Row],[Ativo]],1,2)</f>
        <v>79</v>
      </c>
      <c r="F120" s="4" t="str">
        <f>IFERROR(_xlfn.XLOOKUP(Table[[#This Row],[Ativo]],Pendentes[COD_RELIGADOR],Pendentes[SS_ORIGINAL]),"CONCLUÍDA")</f>
        <v>ETO-TELE 01007/2026</v>
      </c>
      <c r="G120" s="4" t="s">
        <v>698</v>
      </c>
      <c r="J120" s="29"/>
      <c r="K120" s="31"/>
      <c r="L120" t="str">
        <f>IFERROR(_xlfn.XLOOKUP(Table[[#This Row],[Ativo]],Pendentes[COD_RELIGADOR],Pendentes[DESCRICAO]),"")</f>
        <v>Favor verifcar Religador 7961368005 , equipamento sem comunicação , feito primeiro ataque com equipe operacional , porem não ouve retorno .</v>
      </c>
      <c r="M120" s="5"/>
      <c r="N120" s="5"/>
      <c r="O120" s="5"/>
      <c r="P120" s="5"/>
      <c r="Q120" s="5"/>
      <c r="R120" s="5"/>
      <c r="S120" s="5"/>
      <c r="T120" s="5"/>
      <c r="U120" s="5">
        <f>SUM(Table[[#This Row],[Premissa 1]:[Premissa 8]])</f>
        <v>0</v>
      </c>
      <c r="V120" s="5"/>
    </row>
    <row r="121" spans="1:22" ht="15" customHeight="1">
      <c r="A121" s="4">
        <v>7929663074</v>
      </c>
      <c r="B121" s="5" t="str">
        <f>MID(Table[[#This Row],[Ativo]],1,2)</f>
        <v>79</v>
      </c>
      <c r="F121" s="4" t="str">
        <f>IFERROR(_xlfn.XLOOKUP(Table[[#This Row],[Ativo]],Pendentes[COD_RELIGADOR],Pendentes[SS_ORIGINAL]),"CONCLUÍDA")</f>
        <v>ETO-TELE 01026/2026</v>
      </c>
      <c r="G121" s="4" t="s">
        <v>698</v>
      </c>
      <c r="J121" s="29"/>
      <c r="K121" s="31"/>
      <c r="L121" t="str">
        <f>IFERROR(_xlfn.XLOOKUP(Table[[#This Row],[Ativo]],Pendentes[COD_RELIGADOR],Pendentes[DESCRICAO]),"")</f>
        <v>Segue nota para verificar falha de comunicação no religador 7929663074  rural - Dianópolis  .Equipamento perde a comunicação quando falta CA !</v>
      </c>
      <c r="M121" s="5"/>
      <c r="N121" s="5"/>
      <c r="O121" s="5"/>
      <c r="P121" s="5"/>
      <c r="Q121" s="5"/>
      <c r="R121" s="5"/>
      <c r="S121" s="5"/>
      <c r="T121" s="5"/>
      <c r="U121" s="5">
        <f>SUM(Table[[#This Row],[Premissa 1]:[Premissa 8]])</f>
        <v>0</v>
      </c>
      <c r="V121" s="5"/>
    </row>
    <row r="122" spans="1:22" ht="15" customHeight="1">
      <c r="A122" s="4">
        <v>7900722193</v>
      </c>
      <c r="B122" s="5" t="str">
        <f>MID(Table[[#This Row],[Ativo]],1,2)</f>
        <v>79</v>
      </c>
      <c r="F122" s="4" t="str">
        <f>IFERROR(_xlfn.XLOOKUP(Table[[#This Row],[Ativo]],Pendentes[COD_RELIGADOR],Pendentes[SS_ORIGINAL]),"CONCLUÍDA")</f>
        <v>ETO-TELE 01029/2026</v>
      </c>
      <c r="G122" s="4" t="s">
        <v>698</v>
      </c>
      <c r="J122" s="29"/>
      <c r="K122" s="31"/>
      <c r="L122" t="str">
        <f>IFERROR(_xlfn.XLOOKUP(Table[[#This Row],[Ativo]],Pendentes[COD_RELIGADOR],Pendentes[DESCRICAO]),"")</f>
        <v>Religador sem comunicação, apos primeiro ataque não retornou a comunicação.</v>
      </c>
      <c r="M122" s="5"/>
      <c r="N122" s="5"/>
      <c r="O122" s="5"/>
      <c r="P122" s="5"/>
      <c r="Q122" s="5"/>
      <c r="R122" s="5"/>
      <c r="S122" s="5"/>
      <c r="T122" s="5"/>
      <c r="U122" s="5">
        <f>SUM(Table[[#This Row],[Premissa 1]:[Premissa 8]])</f>
        <v>0</v>
      </c>
      <c r="V122" s="5"/>
    </row>
    <row r="123" spans="1:22" ht="15" customHeight="1">
      <c r="A123" s="4">
        <v>7955792076</v>
      </c>
      <c r="B123" s="5" t="str">
        <f>MID(Table[[#This Row],[Ativo]],1,2)</f>
        <v>79</v>
      </c>
      <c r="F123" s="4" t="str">
        <f>IFERROR(_xlfn.XLOOKUP(Table[[#This Row],[Ativo]],Pendentes[COD_RELIGADOR],Pendentes[SS_ORIGINAL]),"CONCLUÍDA")</f>
        <v>ETO-TELE 00999/2026</v>
      </c>
      <c r="G123" s="4" t="s">
        <v>698</v>
      </c>
      <c r="J123" s="29"/>
      <c r="K123" s="31"/>
      <c r="L123" t="str">
        <f>IFERROR(_xlfn.XLOOKUP(Table[[#This Row],[Ativo]],Pendentes[COD_RELIGADOR],Pendentes[DESCRICAO]),"")</f>
        <v>RELIGADOR DE POSTE 7955792076 SEM COMUNIÇÃO COM COI ,FEITO PRIMEIRO ATAQUE COM EQUIPE OPERACIONAL O MESMO NÃO RETORNOU A COMUNICAÇÃO ENVIAR EQUIPE ESPECIAL VERIFICAR EM CAMPO</v>
      </c>
      <c r="M123" s="5"/>
      <c r="N123" s="5"/>
      <c r="O123" s="5"/>
      <c r="P123" s="5"/>
      <c r="Q123" s="5"/>
      <c r="R123" s="5"/>
      <c r="S123" s="5"/>
      <c r="T123" s="5"/>
      <c r="U123" s="5">
        <f>SUM(Table[[#This Row],[Premissa 1]:[Premissa 8]])</f>
        <v>0</v>
      </c>
      <c r="V123" s="5"/>
    </row>
    <row r="124" spans="1:22" ht="15" customHeight="1">
      <c r="A124" s="4">
        <v>5839141113</v>
      </c>
      <c r="B124" s="5" t="str">
        <f>MID(Table[[#This Row],[Ativo]],1,2)</f>
        <v>58</v>
      </c>
      <c r="F124" s="4" t="str">
        <f>IFERROR(_xlfn.XLOOKUP(Table[[#This Row],[Ativo]],Pendentes[COD_RELIGADOR],Pendentes[SS_ORIGINAL]),"CONCLUÍDA")</f>
        <v>ETO-TELE 00985/2026</v>
      </c>
      <c r="G124" s="4" t="s">
        <v>698</v>
      </c>
      <c r="J124" s="29"/>
      <c r="K124" s="31"/>
      <c r="L124" t="str">
        <f>IFERROR(_xlfn.XLOOKUP(Table[[#This Row],[Ativo]],Pendentes[COD_RELIGADOR],Pendentes[DESCRICAO]),"")</f>
        <v>Segue nota para averiguar ajuste regulador de tensão N: 5839141113 - RDU - Couto Magalhães , e verificar falha de comunicação   .Equipe operacional verificou que vários transformadores urbanos estão com nível de tensão baixa .Foi feito primeiro ataque regulador está comutando normalmente as 3 fases , porém não está no nível adequado !Em campo regulador estava no Tap R1 - 02 , R2 + 01 , R3 +03Medições feitas :Transformador 5700010113     - NA: 205 NB: 206 NC: 210Transformador 5700011113      - NA: 204 NB: 206 NC: 209Transformador 5700333113       -NA: 205 NB: 207 NC: 208OBS: solicitar equipe para realizar medição aterramento ,  e verificar ajuste junto ao time proteção .  verificar falha de comunicação no equipamento .</v>
      </c>
      <c r="M124" s="5"/>
      <c r="N124" s="5"/>
      <c r="O124" s="5"/>
      <c r="P124" s="5"/>
      <c r="Q124" s="5"/>
      <c r="R124" s="5"/>
      <c r="S124" s="5"/>
      <c r="T124" s="5"/>
      <c r="U124" s="5">
        <f>SUM(Table[[#This Row],[Premissa 1]:[Premissa 8]])</f>
        <v>0</v>
      </c>
      <c r="V124" s="5"/>
    </row>
    <row r="125" spans="1:22" ht="15" customHeight="1">
      <c r="A125" s="4">
        <v>7908683122</v>
      </c>
      <c r="B125" s="5" t="str">
        <f>MID(Table[[#This Row],[Ativo]],1,2)</f>
        <v>79</v>
      </c>
      <c r="F125" s="4" t="str">
        <f>IFERROR(_xlfn.XLOOKUP(Table[[#This Row],[Ativo]],Pendentes[COD_RELIGADOR],Pendentes[SS_ORIGINAL]),"CONCLUÍDA")</f>
        <v>ETO-TELE 00998/2026</v>
      </c>
      <c r="G125" s="4" t="s">
        <v>698</v>
      </c>
      <c r="J125" s="29"/>
      <c r="K125" s="31"/>
      <c r="L125" t="str">
        <f>IFERROR(_xlfn.XLOOKUP(Table[[#This Row],[Ativo]],Pendentes[COD_RELIGADOR],Pendentes[DESCRICAO]),"")</f>
        <v>rl 7908683122  retirado de operaçao devido falha na base do rele  equipamento.</v>
      </c>
      <c r="M125" s="5"/>
      <c r="N125" s="5"/>
      <c r="O125" s="5"/>
      <c r="P125" s="5"/>
      <c r="Q125" s="5"/>
      <c r="R125" s="5"/>
      <c r="S125" s="5"/>
      <c r="T125" s="5"/>
      <c r="U125" s="5">
        <f>SUM(Table[[#This Row],[Premissa 1]:[Premissa 8]])</f>
        <v>0</v>
      </c>
      <c r="V125" s="5"/>
    </row>
    <row r="126" spans="1:22" ht="15" customHeight="1">
      <c r="A126" s="4">
        <v>7923110021</v>
      </c>
      <c r="B126" s="5" t="str">
        <f>MID(Table[[#This Row],[Ativo]],1,2)</f>
        <v>79</v>
      </c>
      <c r="F126" s="4" t="str">
        <f>IFERROR(_xlfn.XLOOKUP(Table[[#This Row],[Ativo]],Pendentes[COD_RELIGADOR],Pendentes[SS_ORIGINAL]),"CONCLUÍDA")</f>
        <v>ETO-TELE 01027/2026</v>
      </c>
      <c r="G126" s="4" t="s">
        <v>698</v>
      </c>
      <c r="J126" s="29"/>
      <c r="K126" s="31"/>
      <c r="L126" t="str">
        <f>IFERROR(_xlfn.XLOOKUP(Table[[#This Row],[Ativo]],Pendentes[COD_RELIGADOR],Pendentes[DESCRICAO]),"")</f>
        <v>Segue SS para verificar falha de comunicação no religador 7923110021. Equipe foi no local realizar primeiro ataque e informou que o radio de comunicação encontra-se com defeito</v>
      </c>
      <c r="M126" s="5"/>
      <c r="N126" s="5"/>
      <c r="O126" s="5"/>
      <c r="P126" s="5"/>
      <c r="Q126" s="5"/>
      <c r="R126" s="5"/>
      <c r="S126" s="5"/>
      <c r="T126" s="5"/>
      <c r="U126" s="5">
        <f>SUM(Table[[#This Row],[Premissa 1]:[Premissa 8]])</f>
        <v>0</v>
      </c>
      <c r="V126" s="5"/>
    </row>
    <row r="127" spans="1:22" ht="15" customHeight="1">
      <c r="A127" s="4">
        <v>7900001096</v>
      </c>
      <c r="B127" s="5" t="str">
        <f>MID(Table[[#This Row],[Ativo]],1,2)</f>
        <v>79</v>
      </c>
      <c r="F127" s="4" t="str">
        <f>IFERROR(_xlfn.XLOOKUP(Table[[#This Row],[Ativo]],Pendentes[COD_RELIGADOR],Pendentes[SS_ORIGINAL]),"CONCLUÍDA")</f>
        <v>ETO-TELE 01018/2026</v>
      </c>
      <c r="G127" s="4" t="s">
        <v>698</v>
      </c>
      <c r="J127" s="29"/>
      <c r="K127" s="31"/>
      <c r="L127" t="str">
        <f>IFERROR(_xlfn.XLOOKUP(Table[[#This Row],[Ativo]],Pendentes[COD_RELIGADOR],Pendentes[DESCRICAO]),"")</f>
        <v>Segue nota para falha de comunicação no religador 7900001096 - Rural - Pindorama .Equipamento perdeu a comunicação quando faltou CA , porém mesmo ao retorna o CA não retornou a comunicação !Feito primeiro ataque sem sucesso !</v>
      </c>
      <c r="M127" s="5"/>
      <c r="N127" s="5"/>
      <c r="O127" s="5"/>
      <c r="P127" s="5"/>
      <c r="Q127" s="5"/>
      <c r="R127" s="5"/>
      <c r="S127" s="5"/>
      <c r="T127" s="5"/>
      <c r="U127" s="5">
        <f>SUM(Table[[#This Row],[Premissa 1]:[Premissa 8]])</f>
        <v>0</v>
      </c>
      <c r="V127" s="5"/>
    </row>
    <row r="128" spans="1:22" ht="15" customHeight="1">
      <c r="A128" s="4">
        <v>7900451096</v>
      </c>
      <c r="B128" s="5" t="str">
        <f>MID(Table[[#This Row],[Ativo]],1,2)</f>
        <v>79</v>
      </c>
      <c r="F128" s="4" t="str">
        <f>IFERROR(_xlfn.XLOOKUP(Table[[#This Row],[Ativo]],Pendentes[COD_RELIGADOR],Pendentes[SS_ORIGINAL]),"CONCLUÍDA")</f>
        <v>ETO-TELE 01020/2026</v>
      </c>
      <c r="G128" s="4" t="s">
        <v>698</v>
      </c>
      <c r="J128" s="29"/>
      <c r="K128" s="31"/>
      <c r="L128" t="str">
        <f>IFERROR(_xlfn.XLOOKUP(Table[[#This Row],[Ativo]],Pendentes[COD_RELIGADOR],Pendentes[DESCRICAO]),"")</f>
        <v>Segue nota para verificar falha de comunicação no religador 7900451096 - Rural -  Pindorama  .Equipamento perde a comunicação quando falta CA !</v>
      </c>
      <c r="M128" s="5"/>
      <c r="N128" s="5"/>
      <c r="O128" s="5"/>
      <c r="P128" s="5"/>
      <c r="Q128" s="5"/>
      <c r="R128" s="5"/>
      <c r="S128" s="5"/>
      <c r="T128" s="5"/>
      <c r="U128" s="5">
        <f>SUM(Table[[#This Row],[Premissa 1]:[Premissa 8]])</f>
        <v>0</v>
      </c>
      <c r="V128" s="5"/>
    </row>
    <row r="129" spans="1:22" ht="15" customHeight="1">
      <c r="A129" s="4">
        <v>7900259096</v>
      </c>
      <c r="B129" s="5" t="str">
        <f>MID(Table[[#This Row],[Ativo]],1,2)</f>
        <v>79</v>
      </c>
      <c r="F129" s="4" t="str">
        <f>IFERROR(_xlfn.XLOOKUP(Table[[#This Row],[Ativo]],Pendentes[COD_RELIGADOR],Pendentes[SS_ORIGINAL]),"CONCLUÍDA")</f>
        <v>ETO-TELE 01021/2026</v>
      </c>
      <c r="G129" s="4" t="s">
        <v>698</v>
      </c>
      <c r="J129" s="29"/>
      <c r="K129" s="31"/>
      <c r="L129" t="str">
        <f>IFERROR(_xlfn.XLOOKUP(Table[[#This Row],[Ativo]],Pendentes[COD_RELIGADOR],Pendentes[DESCRICAO]),"")</f>
        <v>Boa noite .Segue nota para verificar falha de comunicação no religador 7900259096 -  Pindorama .Equipamento perde a comunicação quando falta CA !</v>
      </c>
      <c r="M129" s="5"/>
      <c r="N129" s="5"/>
      <c r="O129" s="5"/>
      <c r="P129" s="5"/>
      <c r="Q129" s="5"/>
      <c r="R129" s="5"/>
      <c r="S129" s="5"/>
      <c r="T129" s="5"/>
      <c r="U129" s="5">
        <f>SUM(Table[[#This Row],[Premissa 1]:[Premissa 8]])</f>
        <v>0</v>
      </c>
      <c r="V129" s="5"/>
    </row>
    <row r="130" spans="1:22" ht="15" customHeight="1">
      <c r="A130" s="4">
        <v>7962734119</v>
      </c>
      <c r="B130" s="5" t="str">
        <f>MID(Table[[#This Row],[Ativo]],1,2)</f>
        <v>79</v>
      </c>
      <c r="F130" s="4" t="str">
        <f>IFERROR(_xlfn.XLOOKUP(Table[[#This Row],[Ativo]],Pendentes[COD_RELIGADOR],Pendentes[SS_ORIGINAL]),"CONCLUÍDA")</f>
        <v>ETO-TELE 01008/2026</v>
      </c>
      <c r="G130" s="4" t="s">
        <v>698</v>
      </c>
      <c r="J130" s="29"/>
      <c r="K130" s="31"/>
      <c r="L130" t="str">
        <f>IFERROR(_xlfn.XLOOKUP(Table[[#This Row],[Ativo]],Pendentes[COD_RELIGADOR],Pendentes[DESCRICAO]),"")</f>
        <v>por favor deslocar equipe da manutenção no RL 7962734119 por que foi feito o primeiro ataque no mesmo mais não voltou comunção no sistema escada</v>
      </c>
      <c r="M130" s="5"/>
      <c r="N130" s="5"/>
      <c r="O130" s="5"/>
      <c r="P130" s="5"/>
      <c r="Q130" s="5"/>
      <c r="R130" s="5"/>
      <c r="S130" s="5"/>
      <c r="T130" s="5"/>
      <c r="U130" s="5">
        <f>SUM(Table[[#This Row],[Premissa 1]:[Premissa 8]])</f>
        <v>0</v>
      </c>
      <c r="V130" s="5"/>
    </row>
    <row r="131" spans="1:22" ht="15" customHeight="1">
      <c r="B131" s="5" t="str">
        <f>MID(Table[[#This Row],[Ativo]],1,2)</f>
        <v/>
      </c>
      <c r="J131" s="29"/>
      <c r="K131" s="31"/>
      <c r="L131" t="str">
        <f>IFERROR(_xlfn.XLOOKUP(Table[[#This Row],[Ativo]],Pendentes[COD_RELIGADOR],Pendentes[DESCRICAO]),"")</f>
        <v/>
      </c>
      <c r="M131" s="5"/>
      <c r="N131" s="5"/>
      <c r="O131" s="5"/>
      <c r="P131" s="5"/>
      <c r="Q131" s="5"/>
      <c r="R131" s="5"/>
      <c r="S131" s="5"/>
      <c r="T131" s="5"/>
      <c r="U131" s="5">
        <f>SUM(Table[[#This Row],[Premissa 1]:[Premissa 8]])</f>
        <v>0</v>
      </c>
      <c r="V131" s="5"/>
    </row>
    <row r="135" spans="1:22" ht="15" customHeight="1">
      <c r="B135" s="47"/>
    </row>
  </sheetData>
  <mergeCells count="1">
    <mergeCell ref="Y1:Z1"/>
  </mergeCells>
  <conditionalFormatting sqref="A1:A61 A63:A1048576">
    <cfRule type="duplicateValues" dxfId="31" priority="2"/>
  </conditionalFormatting>
  <conditionalFormatting sqref="A62">
    <cfRule type="duplicateValues" dxfId="30" priority="1"/>
  </conditionalFormatting>
  <conditionalFormatting sqref="F1:K2 G3:K52 F3:F117 H53:K53 F118:K118 L119:O123 G116:K117 H115:K115 F132:K1048576 H124:K131 F119:G131 G54:K114">
    <cfRule type="cellIs" dxfId="29" priority="3" operator="equal">
      <formula>"CONCLUÍDA"</formula>
    </cfRule>
  </conditionalFormatting>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4CA31-C363-4ED3-A0AE-93265F3F5281}">
  <dimension ref="A1:AA117"/>
  <sheetViews>
    <sheetView workbookViewId="0">
      <selection activeCell="E122" sqref="E122"/>
    </sheetView>
  </sheetViews>
  <sheetFormatPr defaultRowHeight="15"/>
  <cols>
    <col min="1" max="1" width="33.28515625" bestFit="1" customWidth="1"/>
    <col min="2" max="2" width="90.140625" bestFit="1" customWidth="1"/>
    <col min="3" max="4" width="36.140625" customWidth="1"/>
    <col min="5" max="5" width="26" customWidth="1"/>
    <col min="7" max="7" width="29.140625" bestFit="1" customWidth="1"/>
    <col min="8" max="8" width="25.140625" bestFit="1" customWidth="1"/>
    <col min="10" max="10" width="21.5703125" bestFit="1" customWidth="1"/>
    <col min="11" max="11" width="32.7109375" customWidth="1"/>
    <col min="12" max="12" width="56.85546875" bestFit="1" customWidth="1"/>
  </cols>
  <sheetData>
    <row r="1" spans="1:27">
      <c r="A1" t="s">
        <v>964</v>
      </c>
      <c r="B1" t="s">
        <v>964</v>
      </c>
      <c r="C1" t="s">
        <v>965</v>
      </c>
      <c r="D1" t="s">
        <v>964</v>
      </c>
      <c r="E1" t="s">
        <v>964</v>
      </c>
      <c r="F1" t="s">
        <v>964</v>
      </c>
      <c r="G1" t="s">
        <v>964</v>
      </c>
      <c r="H1" t="s">
        <v>964</v>
      </c>
      <c r="I1" t="s">
        <v>964</v>
      </c>
      <c r="J1" t="s">
        <v>964</v>
      </c>
      <c r="K1" t="s">
        <v>964</v>
      </c>
      <c r="L1" t="s">
        <v>964</v>
      </c>
      <c r="M1" t="s">
        <v>964</v>
      </c>
      <c r="N1" t="s">
        <v>964</v>
      </c>
      <c r="O1" t="s">
        <v>964</v>
      </c>
      <c r="P1" t="s">
        <v>964</v>
      </c>
      <c r="Q1" t="s">
        <v>964</v>
      </c>
      <c r="R1" t="s">
        <v>964</v>
      </c>
      <c r="S1" t="s">
        <v>964</v>
      </c>
      <c r="T1" t="s">
        <v>964</v>
      </c>
      <c r="U1" t="s">
        <v>964</v>
      </c>
      <c r="V1" t="s">
        <v>964</v>
      </c>
      <c r="W1" t="s">
        <v>964</v>
      </c>
      <c r="X1" t="s">
        <v>964</v>
      </c>
      <c r="Y1" t="s">
        <v>964</v>
      </c>
      <c r="Z1" t="s">
        <v>964</v>
      </c>
      <c r="AA1" t="s">
        <v>964</v>
      </c>
    </row>
    <row r="2" spans="1:27">
      <c r="E2">
        <v>5800291077</v>
      </c>
      <c r="F2" t="s">
        <v>10</v>
      </c>
      <c r="G2" t="s">
        <v>144</v>
      </c>
      <c r="H2" t="s">
        <v>57</v>
      </c>
      <c r="I2" t="s">
        <v>51</v>
      </c>
      <c r="J2" t="s">
        <v>437</v>
      </c>
      <c r="M2" t="s">
        <v>438</v>
      </c>
      <c r="P2" t="s">
        <v>439</v>
      </c>
      <c r="Q2">
        <v>40</v>
      </c>
      <c r="R2">
        <v>20</v>
      </c>
      <c r="S2">
        <v>20</v>
      </c>
      <c r="T2">
        <v>20</v>
      </c>
      <c r="U2">
        <v>20</v>
      </c>
      <c r="V2" t="s">
        <v>45</v>
      </c>
      <c r="W2" t="s">
        <v>45</v>
      </c>
      <c r="X2" t="s">
        <v>45</v>
      </c>
      <c r="Y2">
        <v>120</v>
      </c>
      <c r="Z2" t="s">
        <v>9</v>
      </c>
      <c r="AA2" t="s">
        <v>440</v>
      </c>
    </row>
    <row r="3" spans="1:27">
      <c r="A3" t="s">
        <v>966</v>
      </c>
      <c r="B3" t="s">
        <v>967</v>
      </c>
      <c r="E3">
        <v>5854566043</v>
      </c>
      <c r="F3" t="s">
        <v>10</v>
      </c>
      <c r="G3" t="s">
        <v>40</v>
      </c>
      <c r="H3" t="s">
        <v>41</v>
      </c>
      <c r="I3" t="s">
        <v>42</v>
      </c>
      <c r="J3" t="s">
        <v>856</v>
      </c>
      <c r="K3" t="s">
        <v>467</v>
      </c>
      <c r="L3" t="s">
        <v>534</v>
      </c>
      <c r="M3" t="s">
        <v>443</v>
      </c>
      <c r="N3" t="s">
        <v>444</v>
      </c>
      <c r="O3">
        <v>1</v>
      </c>
      <c r="P3" t="s">
        <v>968</v>
      </c>
      <c r="Q3">
        <v>40</v>
      </c>
      <c r="R3">
        <v>20</v>
      </c>
      <c r="S3">
        <v>20</v>
      </c>
      <c r="T3">
        <v>10</v>
      </c>
      <c r="U3">
        <v>20</v>
      </c>
      <c r="V3" t="s">
        <v>45</v>
      </c>
      <c r="W3" t="s">
        <v>45</v>
      </c>
      <c r="X3" t="s">
        <v>45</v>
      </c>
      <c r="Y3">
        <v>110</v>
      </c>
      <c r="Z3" t="s">
        <v>9</v>
      </c>
      <c r="AA3" t="s">
        <v>46</v>
      </c>
    </row>
    <row r="4" spans="1:27">
      <c r="E4">
        <v>5800859011</v>
      </c>
      <c r="F4" t="s">
        <v>10</v>
      </c>
      <c r="G4" t="s">
        <v>49</v>
      </c>
      <c r="H4" t="s">
        <v>50</v>
      </c>
      <c r="I4" t="s">
        <v>51</v>
      </c>
      <c r="J4" t="s">
        <v>930</v>
      </c>
      <c r="K4" t="s">
        <v>467</v>
      </c>
      <c r="L4" t="s">
        <v>468</v>
      </c>
      <c r="M4" t="s">
        <v>443</v>
      </c>
      <c r="N4" t="s">
        <v>447</v>
      </c>
      <c r="O4">
        <v>1</v>
      </c>
      <c r="P4" t="s">
        <v>969</v>
      </c>
      <c r="Q4">
        <v>40</v>
      </c>
      <c r="R4">
        <v>20</v>
      </c>
      <c r="S4">
        <v>20</v>
      </c>
      <c r="T4">
        <v>10</v>
      </c>
      <c r="U4">
        <v>20</v>
      </c>
      <c r="V4" t="s">
        <v>45</v>
      </c>
      <c r="W4" t="s">
        <v>45</v>
      </c>
      <c r="X4" t="s">
        <v>45</v>
      </c>
      <c r="Y4">
        <v>110</v>
      </c>
      <c r="Z4" t="s">
        <v>9</v>
      </c>
      <c r="AA4" t="s">
        <v>54</v>
      </c>
    </row>
    <row r="5" spans="1:27">
      <c r="E5">
        <v>5836764032</v>
      </c>
      <c r="F5" t="s">
        <v>10</v>
      </c>
      <c r="G5" t="s">
        <v>448</v>
      </c>
      <c r="H5" t="s">
        <v>449</v>
      </c>
      <c r="I5" t="s">
        <v>76</v>
      </c>
      <c r="J5" t="s">
        <v>437</v>
      </c>
      <c r="M5" t="s">
        <v>438</v>
      </c>
      <c r="P5" t="s">
        <v>439</v>
      </c>
      <c r="Q5">
        <v>40</v>
      </c>
      <c r="R5">
        <v>20</v>
      </c>
      <c r="S5">
        <v>20</v>
      </c>
      <c r="T5">
        <v>10</v>
      </c>
      <c r="U5">
        <v>20</v>
      </c>
      <c r="V5" t="s">
        <v>45</v>
      </c>
      <c r="W5" t="s">
        <v>45</v>
      </c>
      <c r="X5" t="s">
        <v>45</v>
      </c>
      <c r="Y5">
        <v>110</v>
      </c>
      <c r="Z5" t="s">
        <v>9</v>
      </c>
      <c r="AA5" t="s">
        <v>450</v>
      </c>
    </row>
    <row r="6" spans="1:27">
      <c r="E6">
        <v>7923673004</v>
      </c>
      <c r="F6" t="s">
        <v>11</v>
      </c>
      <c r="G6" t="s">
        <v>57</v>
      </c>
      <c r="H6" t="s">
        <v>57</v>
      </c>
      <c r="I6" t="s">
        <v>51</v>
      </c>
      <c r="J6" t="s">
        <v>55</v>
      </c>
      <c r="K6" t="s">
        <v>451</v>
      </c>
      <c r="L6" t="s">
        <v>452</v>
      </c>
      <c r="N6" t="s">
        <v>460</v>
      </c>
      <c r="O6">
        <v>1</v>
      </c>
      <c r="P6" t="s">
        <v>59</v>
      </c>
      <c r="Q6">
        <v>15</v>
      </c>
      <c r="R6">
        <v>20</v>
      </c>
      <c r="S6">
        <v>15</v>
      </c>
      <c r="T6">
        <v>15</v>
      </c>
      <c r="U6">
        <v>15</v>
      </c>
      <c r="V6">
        <v>10</v>
      </c>
      <c r="W6">
        <v>0</v>
      </c>
      <c r="X6">
        <v>15</v>
      </c>
      <c r="Y6">
        <v>105</v>
      </c>
      <c r="Z6" t="s">
        <v>9</v>
      </c>
      <c r="AA6" t="s">
        <v>60</v>
      </c>
    </row>
    <row r="7" spans="1:27">
      <c r="E7">
        <v>7931608059</v>
      </c>
      <c r="F7" t="s">
        <v>11</v>
      </c>
      <c r="G7" t="s">
        <v>62</v>
      </c>
      <c r="H7" t="s">
        <v>62</v>
      </c>
      <c r="I7" t="s">
        <v>42</v>
      </c>
      <c r="J7" t="s">
        <v>61</v>
      </c>
      <c r="K7" t="s">
        <v>451</v>
      </c>
      <c r="N7" t="s">
        <v>454</v>
      </c>
      <c r="O7">
        <v>1</v>
      </c>
      <c r="P7" t="s">
        <v>64</v>
      </c>
      <c r="Q7">
        <v>15</v>
      </c>
      <c r="R7">
        <v>20</v>
      </c>
      <c r="S7">
        <v>15</v>
      </c>
      <c r="T7">
        <v>15</v>
      </c>
      <c r="U7">
        <v>15</v>
      </c>
      <c r="V7">
        <v>10</v>
      </c>
      <c r="W7">
        <v>0</v>
      </c>
      <c r="X7">
        <v>15</v>
      </c>
      <c r="Y7">
        <v>105</v>
      </c>
      <c r="Z7" t="s">
        <v>9</v>
      </c>
      <c r="AA7" t="s">
        <v>65</v>
      </c>
    </row>
    <row r="8" spans="1:27">
      <c r="E8">
        <v>7931610122</v>
      </c>
      <c r="F8" t="s">
        <v>11</v>
      </c>
      <c r="G8" t="s">
        <v>68</v>
      </c>
      <c r="H8" t="s">
        <v>68</v>
      </c>
      <c r="I8" t="s">
        <v>42</v>
      </c>
      <c r="J8" t="s">
        <v>970</v>
      </c>
      <c r="K8" t="s">
        <v>445</v>
      </c>
      <c r="L8" t="s">
        <v>496</v>
      </c>
      <c r="M8" t="s">
        <v>443</v>
      </c>
      <c r="N8" t="s">
        <v>457</v>
      </c>
      <c r="O8">
        <v>1</v>
      </c>
      <c r="P8" t="s">
        <v>971</v>
      </c>
      <c r="Q8">
        <v>15</v>
      </c>
      <c r="R8">
        <v>20</v>
      </c>
      <c r="S8">
        <v>15</v>
      </c>
      <c r="T8">
        <v>15</v>
      </c>
      <c r="U8">
        <v>15</v>
      </c>
      <c r="V8">
        <v>10</v>
      </c>
      <c r="W8">
        <v>0</v>
      </c>
      <c r="X8">
        <v>15</v>
      </c>
      <c r="Y8">
        <v>105</v>
      </c>
      <c r="Z8" t="s">
        <v>9</v>
      </c>
      <c r="AA8" t="s">
        <v>71</v>
      </c>
    </row>
    <row r="9" spans="1:27">
      <c r="E9">
        <v>7900648055</v>
      </c>
      <c r="F9" t="s">
        <v>11</v>
      </c>
      <c r="G9" t="s">
        <v>458</v>
      </c>
      <c r="H9" t="s">
        <v>210</v>
      </c>
      <c r="I9" t="s">
        <v>42</v>
      </c>
      <c r="J9" t="s">
        <v>437</v>
      </c>
      <c r="P9" t="s">
        <v>439</v>
      </c>
      <c r="Q9">
        <v>15</v>
      </c>
      <c r="R9">
        <v>20</v>
      </c>
      <c r="S9">
        <v>15</v>
      </c>
      <c r="T9">
        <v>15</v>
      </c>
      <c r="U9">
        <v>15</v>
      </c>
      <c r="V9">
        <v>10</v>
      </c>
      <c r="W9">
        <v>0</v>
      </c>
      <c r="X9">
        <v>15</v>
      </c>
      <c r="Y9">
        <v>105</v>
      </c>
      <c r="Z9" t="s">
        <v>9</v>
      </c>
      <c r="AA9" t="s">
        <v>459</v>
      </c>
    </row>
    <row r="10" spans="1:27">
      <c r="E10">
        <v>7947203070</v>
      </c>
      <c r="F10" t="s">
        <v>11</v>
      </c>
      <c r="G10" t="s">
        <v>81</v>
      </c>
      <c r="H10" t="s">
        <v>62</v>
      </c>
      <c r="I10" t="s">
        <v>42</v>
      </c>
      <c r="J10" t="s">
        <v>80</v>
      </c>
      <c r="K10" t="s">
        <v>451</v>
      </c>
      <c r="L10" t="s">
        <v>452</v>
      </c>
      <c r="N10" t="s">
        <v>460</v>
      </c>
      <c r="O10">
        <v>1</v>
      </c>
      <c r="P10" t="s">
        <v>83</v>
      </c>
      <c r="Q10">
        <v>10</v>
      </c>
      <c r="R10">
        <v>20</v>
      </c>
      <c r="S10">
        <v>15</v>
      </c>
      <c r="T10">
        <v>15</v>
      </c>
      <c r="U10">
        <v>15</v>
      </c>
      <c r="V10">
        <v>10</v>
      </c>
      <c r="W10">
        <v>0</v>
      </c>
      <c r="X10">
        <v>15</v>
      </c>
      <c r="Y10">
        <v>100</v>
      </c>
      <c r="Z10" t="s">
        <v>9</v>
      </c>
      <c r="AA10" t="s">
        <v>84</v>
      </c>
    </row>
    <row r="11" spans="1:27">
      <c r="E11">
        <v>5856070091</v>
      </c>
      <c r="F11" t="s">
        <v>10</v>
      </c>
      <c r="G11" t="s">
        <v>74</v>
      </c>
      <c r="H11" t="s">
        <v>75</v>
      </c>
      <c r="I11" t="s">
        <v>76</v>
      </c>
      <c r="J11" t="s">
        <v>972</v>
      </c>
      <c r="K11" t="s">
        <v>451</v>
      </c>
      <c r="L11" t="s">
        <v>557</v>
      </c>
      <c r="N11" t="s">
        <v>462</v>
      </c>
      <c r="O11">
        <v>3</v>
      </c>
      <c r="P11" t="s">
        <v>78</v>
      </c>
      <c r="Q11">
        <v>40</v>
      </c>
      <c r="R11">
        <v>20</v>
      </c>
      <c r="S11">
        <v>20</v>
      </c>
      <c r="T11">
        <v>20</v>
      </c>
      <c r="U11">
        <v>0</v>
      </c>
      <c r="V11" t="s">
        <v>45</v>
      </c>
      <c r="W11" t="s">
        <v>45</v>
      </c>
      <c r="X11" t="s">
        <v>45</v>
      </c>
      <c r="Y11">
        <v>100</v>
      </c>
      <c r="Z11" t="s">
        <v>9</v>
      </c>
      <c r="AA11" t="s">
        <v>79</v>
      </c>
    </row>
    <row r="12" spans="1:27">
      <c r="E12">
        <v>7903569004</v>
      </c>
      <c r="F12" t="s">
        <v>11</v>
      </c>
      <c r="G12" t="s">
        <v>57</v>
      </c>
      <c r="H12" t="s">
        <v>57</v>
      </c>
      <c r="I12" t="s">
        <v>51</v>
      </c>
      <c r="J12" t="s">
        <v>437</v>
      </c>
      <c r="P12" t="s">
        <v>439</v>
      </c>
      <c r="Q12">
        <v>15</v>
      </c>
      <c r="R12">
        <v>20</v>
      </c>
      <c r="S12">
        <v>5</v>
      </c>
      <c r="T12">
        <v>15</v>
      </c>
      <c r="U12">
        <v>15</v>
      </c>
      <c r="V12">
        <v>10</v>
      </c>
      <c r="W12">
        <v>0</v>
      </c>
      <c r="X12">
        <v>15</v>
      </c>
      <c r="Y12">
        <v>95</v>
      </c>
      <c r="Z12" t="s">
        <v>9</v>
      </c>
      <c r="AA12" t="s">
        <v>463</v>
      </c>
    </row>
    <row r="13" spans="1:27">
      <c r="E13">
        <v>7925744087</v>
      </c>
      <c r="F13" t="s">
        <v>11</v>
      </c>
      <c r="G13" t="s">
        <v>91</v>
      </c>
      <c r="H13" t="s">
        <v>50</v>
      </c>
      <c r="I13" t="s">
        <v>51</v>
      </c>
      <c r="J13" t="s">
        <v>90</v>
      </c>
      <c r="K13" t="s">
        <v>451</v>
      </c>
      <c r="L13" t="s">
        <v>464</v>
      </c>
      <c r="N13" t="s">
        <v>465</v>
      </c>
      <c r="O13">
        <v>1</v>
      </c>
      <c r="P13" t="s">
        <v>93</v>
      </c>
      <c r="Q13">
        <v>15</v>
      </c>
      <c r="R13">
        <v>20</v>
      </c>
      <c r="S13">
        <v>5</v>
      </c>
      <c r="T13">
        <v>15</v>
      </c>
      <c r="U13">
        <v>15</v>
      </c>
      <c r="V13">
        <v>10</v>
      </c>
      <c r="W13">
        <v>0</v>
      </c>
      <c r="X13">
        <v>15</v>
      </c>
      <c r="Y13">
        <v>95</v>
      </c>
      <c r="Z13" t="s">
        <v>9</v>
      </c>
      <c r="AA13" t="s">
        <v>94</v>
      </c>
    </row>
    <row r="14" spans="1:27">
      <c r="A14" t="s">
        <v>973</v>
      </c>
      <c r="B14" t="s">
        <v>974</v>
      </c>
      <c r="D14" t="e" cm="1">
        <f t="array" ref="D14">_xlfn.XLOOKUP(_xlfn.NUMBERVALUE(E14),_xlfn.NUMBERVALUE([1]Planilha1!$C$2:$C$34),[1]Planilha1!$T$3:$T$34)</f>
        <v>#VALUE!</v>
      </c>
      <c r="E14" s="33">
        <v>7900117013</v>
      </c>
      <c r="F14" t="s">
        <v>11</v>
      </c>
      <c r="G14" t="s">
        <v>97</v>
      </c>
      <c r="H14" t="s">
        <v>97</v>
      </c>
      <c r="I14" t="s">
        <v>42</v>
      </c>
      <c r="J14" t="s">
        <v>975</v>
      </c>
      <c r="K14" t="s">
        <v>467</v>
      </c>
      <c r="L14" t="s">
        <v>466</v>
      </c>
      <c r="M14" t="s">
        <v>443</v>
      </c>
      <c r="N14" t="s">
        <v>460</v>
      </c>
      <c r="O14">
        <v>1</v>
      </c>
      <c r="P14" t="s">
        <v>976</v>
      </c>
      <c r="Q14">
        <v>15</v>
      </c>
      <c r="R14">
        <v>20</v>
      </c>
      <c r="S14">
        <v>15</v>
      </c>
      <c r="T14">
        <v>15</v>
      </c>
      <c r="U14">
        <v>15</v>
      </c>
      <c r="V14">
        <v>0</v>
      </c>
      <c r="W14">
        <v>0</v>
      </c>
      <c r="X14">
        <v>15</v>
      </c>
      <c r="Y14">
        <v>95</v>
      </c>
      <c r="Z14" t="s">
        <v>9</v>
      </c>
      <c r="AA14" t="s">
        <v>100</v>
      </c>
    </row>
    <row r="15" spans="1:27">
      <c r="E15">
        <v>7929376022</v>
      </c>
      <c r="F15" t="s">
        <v>11</v>
      </c>
      <c r="G15" t="s">
        <v>102</v>
      </c>
      <c r="H15" t="s">
        <v>57</v>
      </c>
      <c r="I15" t="s">
        <v>51</v>
      </c>
      <c r="J15" t="s">
        <v>101</v>
      </c>
      <c r="K15" t="s">
        <v>467</v>
      </c>
      <c r="L15" t="s">
        <v>468</v>
      </c>
      <c r="M15" t="s">
        <v>443</v>
      </c>
      <c r="N15" t="s">
        <v>469</v>
      </c>
      <c r="O15">
        <v>1</v>
      </c>
      <c r="P15" t="s">
        <v>104</v>
      </c>
      <c r="Q15">
        <v>15</v>
      </c>
      <c r="R15">
        <v>20</v>
      </c>
      <c r="S15">
        <v>5</v>
      </c>
      <c r="T15">
        <v>15</v>
      </c>
      <c r="U15">
        <v>15</v>
      </c>
      <c r="V15">
        <v>10</v>
      </c>
      <c r="W15">
        <v>0</v>
      </c>
      <c r="X15">
        <v>15</v>
      </c>
      <c r="Y15">
        <v>95</v>
      </c>
      <c r="Z15" t="s">
        <v>9</v>
      </c>
      <c r="AA15" t="s">
        <v>105</v>
      </c>
    </row>
    <row r="16" spans="1:27">
      <c r="E16">
        <v>7908705049</v>
      </c>
      <c r="F16" t="s">
        <v>11</v>
      </c>
      <c r="G16" t="s">
        <v>86</v>
      </c>
      <c r="H16" t="s">
        <v>75</v>
      </c>
      <c r="I16" t="s">
        <v>76</v>
      </c>
      <c r="J16" t="s">
        <v>85</v>
      </c>
      <c r="K16" t="s">
        <v>445</v>
      </c>
      <c r="L16" t="s">
        <v>977</v>
      </c>
      <c r="M16" t="s">
        <v>443</v>
      </c>
      <c r="N16" t="s">
        <v>469</v>
      </c>
      <c r="O16">
        <v>1</v>
      </c>
      <c r="P16" t="s">
        <v>88</v>
      </c>
      <c r="Q16">
        <v>15</v>
      </c>
      <c r="R16">
        <v>20</v>
      </c>
      <c r="S16">
        <v>5</v>
      </c>
      <c r="T16">
        <v>15</v>
      </c>
      <c r="U16">
        <v>15</v>
      </c>
      <c r="V16">
        <v>0</v>
      </c>
      <c r="W16">
        <v>10</v>
      </c>
      <c r="X16">
        <v>15</v>
      </c>
      <c r="Y16">
        <v>95</v>
      </c>
      <c r="Z16" t="s">
        <v>9</v>
      </c>
      <c r="AA16" t="s">
        <v>89</v>
      </c>
    </row>
    <row r="17" spans="1:27">
      <c r="A17" t="s">
        <v>966</v>
      </c>
      <c r="B17" t="s">
        <v>978</v>
      </c>
      <c r="E17">
        <v>7933726256</v>
      </c>
      <c r="F17" t="s">
        <v>11</v>
      </c>
      <c r="G17" t="s">
        <v>107</v>
      </c>
      <c r="H17" t="s">
        <v>108</v>
      </c>
      <c r="I17" t="s">
        <v>42</v>
      </c>
      <c r="J17" t="s">
        <v>106</v>
      </c>
      <c r="K17" t="s">
        <v>471</v>
      </c>
      <c r="L17" t="s">
        <v>472</v>
      </c>
      <c r="M17" t="s">
        <v>443</v>
      </c>
      <c r="N17" t="s">
        <v>473</v>
      </c>
      <c r="O17">
        <v>1</v>
      </c>
      <c r="P17" t="s">
        <v>110</v>
      </c>
      <c r="Q17">
        <v>15</v>
      </c>
      <c r="R17">
        <v>10</v>
      </c>
      <c r="S17">
        <v>15</v>
      </c>
      <c r="T17">
        <v>15</v>
      </c>
      <c r="U17">
        <v>15</v>
      </c>
      <c r="V17">
        <v>10</v>
      </c>
      <c r="W17">
        <v>0</v>
      </c>
      <c r="X17">
        <v>15</v>
      </c>
      <c r="Y17">
        <v>95</v>
      </c>
      <c r="Z17" t="s">
        <v>9</v>
      </c>
      <c r="AA17" t="s">
        <v>111</v>
      </c>
    </row>
    <row r="18" spans="1:27">
      <c r="E18">
        <v>7933766059</v>
      </c>
      <c r="F18" t="s">
        <v>11</v>
      </c>
      <c r="G18" t="s">
        <v>62</v>
      </c>
      <c r="H18" t="s">
        <v>62</v>
      </c>
      <c r="I18" t="s">
        <v>42</v>
      </c>
      <c r="J18" t="s">
        <v>979</v>
      </c>
      <c r="K18" t="s">
        <v>445</v>
      </c>
      <c r="L18" t="s">
        <v>980</v>
      </c>
      <c r="M18" t="s">
        <v>443</v>
      </c>
      <c r="N18" t="s">
        <v>473</v>
      </c>
      <c r="O18">
        <v>1</v>
      </c>
      <c r="P18" t="s">
        <v>981</v>
      </c>
      <c r="Q18">
        <v>15</v>
      </c>
      <c r="R18">
        <v>20</v>
      </c>
      <c r="S18">
        <v>5</v>
      </c>
      <c r="T18">
        <v>15</v>
      </c>
      <c r="U18">
        <v>15</v>
      </c>
      <c r="V18">
        <v>0</v>
      </c>
      <c r="W18">
        <v>10</v>
      </c>
      <c r="X18">
        <v>15</v>
      </c>
      <c r="Y18">
        <v>95</v>
      </c>
      <c r="Z18" t="s">
        <v>9</v>
      </c>
      <c r="AA18" t="s">
        <v>115</v>
      </c>
    </row>
    <row r="19" spans="1:27">
      <c r="A19" t="s">
        <v>966</v>
      </c>
      <c r="B19" t="s">
        <v>982</v>
      </c>
      <c r="E19">
        <v>7900594026</v>
      </c>
      <c r="F19" t="s">
        <v>11</v>
      </c>
      <c r="G19" t="s">
        <v>108</v>
      </c>
      <c r="H19" t="s">
        <v>108</v>
      </c>
      <c r="I19" t="s">
        <v>42</v>
      </c>
      <c r="J19" t="s">
        <v>983</v>
      </c>
      <c r="K19" t="s">
        <v>445</v>
      </c>
      <c r="L19" t="s">
        <v>984</v>
      </c>
      <c r="M19" t="s">
        <v>443</v>
      </c>
      <c r="N19" t="s">
        <v>469</v>
      </c>
      <c r="O19">
        <v>1</v>
      </c>
      <c r="P19" t="s">
        <v>985</v>
      </c>
      <c r="Q19">
        <v>15</v>
      </c>
      <c r="R19">
        <v>20</v>
      </c>
      <c r="S19">
        <v>15</v>
      </c>
      <c r="T19">
        <v>15</v>
      </c>
      <c r="U19">
        <v>15</v>
      </c>
      <c r="V19">
        <v>0</v>
      </c>
      <c r="W19">
        <v>0</v>
      </c>
      <c r="X19">
        <v>15</v>
      </c>
      <c r="Y19">
        <v>95</v>
      </c>
      <c r="Z19" t="s">
        <v>9</v>
      </c>
      <c r="AA19" t="s">
        <v>119</v>
      </c>
    </row>
    <row r="20" spans="1:27">
      <c r="E20">
        <v>7921040031</v>
      </c>
      <c r="F20" t="s">
        <v>11</v>
      </c>
      <c r="G20" t="s">
        <v>476</v>
      </c>
      <c r="H20" t="s">
        <v>186</v>
      </c>
      <c r="I20" t="s">
        <v>42</v>
      </c>
      <c r="J20" t="s">
        <v>437</v>
      </c>
      <c r="M20" t="s">
        <v>438</v>
      </c>
      <c r="P20" t="s">
        <v>439</v>
      </c>
      <c r="Q20">
        <v>15</v>
      </c>
      <c r="R20">
        <v>20</v>
      </c>
      <c r="S20">
        <v>5</v>
      </c>
      <c r="T20">
        <v>15</v>
      </c>
      <c r="U20">
        <v>15</v>
      </c>
      <c r="V20">
        <v>10</v>
      </c>
      <c r="W20">
        <v>0</v>
      </c>
      <c r="X20">
        <v>15</v>
      </c>
      <c r="Y20">
        <v>95</v>
      </c>
      <c r="Z20" t="s">
        <v>9</v>
      </c>
      <c r="AA20" t="s">
        <v>477</v>
      </c>
    </row>
    <row r="21" spans="1:27">
      <c r="E21">
        <v>7957620015</v>
      </c>
      <c r="F21" t="s">
        <v>11</v>
      </c>
      <c r="G21" t="s">
        <v>283</v>
      </c>
      <c r="H21" t="s">
        <v>50</v>
      </c>
      <c r="I21" t="s">
        <v>51</v>
      </c>
      <c r="J21" t="s">
        <v>437</v>
      </c>
      <c r="M21" t="s">
        <v>438</v>
      </c>
      <c r="P21" t="s">
        <v>439</v>
      </c>
      <c r="Q21">
        <v>15</v>
      </c>
      <c r="R21">
        <v>20</v>
      </c>
      <c r="S21">
        <v>15</v>
      </c>
      <c r="T21">
        <v>15</v>
      </c>
      <c r="U21">
        <v>15</v>
      </c>
      <c r="V21">
        <v>0</v>
      </c>
      <c r="W21">
        <v>0</v>
      </c>
      <c r="X21">
        <v>15</v>
      </c>
      <c r="Y21">
        <v>95</v>
      </c>
      <c r="Z21" t="s">
        <v>9</v>
      </c>
      <c r="AA21" t="s">
        <v>478</v>
      </c>
    </row>
    <row r="22" spans="1:27">
      <c r="A22" t="s">
        <v>966</v>
      </c>
      <c r="B22" t="s">
        <v>986</v>
      </c>
      <c r="E22">
        <v>7927413001</v>
      </c>
      <c r="F22" t="s">
        <v>11</v>
      </c>
      <c r="G22" t="s">
        <v>41</v>
      </c>
      <c r="H22" t="s">
        <v>41</v>
      </c>
      <c r="I22" t="s">
        <v>42</v>
      </c>
      <c r="J22" t="s">
        <v>987</v>
      </c>
      <c r="K22" t="s">
        <v>451</v>
      </c>
      <c r="L22" t="s">
        <v>452</v>
      </c>
      <c r="N22" t="s">
        <v>469</v>
      </c>
      <c r="O22">
        <v>1</v>
      </c>
      <c r="P22" t="s">
        <v>479</v>
      </c>
      <c r="Q22">
        <v>15</v>
      </c>
      <c r="R22">
        <v>5</v>
      </c>
      <c r="S22">
        <v>15</v>
      </c>
      <c r="T22">
        <v>15</v>
      </c>
      <c r="U22">
        <v>15</v>
      </c>
      <c r="V22">
        <v>10</v>
      </c>
      <c r="W22">
        <v>0</v>
      </c>
      <c r="X22">
        <v>15</v>
      </c>
      <c r="Y22">
        <v>90</v>
      </c>
      <c r="Z22" t="s">
        <v>9</v>
      </c>
      <c r="AA22" t="s">
        <v>123</v>
      </c>
    </row>
    <row r="23" spans="1:27">
      <c r="A23" t="s">
        <v>973</v>
      </c>
      <c r="B23" s="7" t="s">
        <v>988</v>
      </c>
      <c r="D23" t="e" cm="1">
        <f t="array" ref="D23">_xlfn.XLOOKUP(_xlfn.NUMBERVALUE(E23),_xlfn.NUMBERVALUE([1]Planilha1!$C$2:$C$34),[1]Planilha1!$T$3:$T$34)</f>
        <v>#VALUE!</v>
      </c>
      <c r="E23">
        <v>7908686014</v>
      </c>
      <c r="F23" t="s">
        <v>11</v>
      </c>
      <c r="G23" t="s">
        <v>126</v>
      </c>
      <c r="H23" t="s">
        <v>97</v>
      </c>
      <c r="I23" t="s">
        <v>42</v>
      </c>
      <c r="J23" t="s">
        <v>124</v>
      </c>
      <c r="K23" t="s">
        <v>445</v>
      </c>
      <c r="L23" t="s">
        <v>496</v>
      </c>
      <c r="M23" t="s">
        <v>443</v>
      </c>
      <c r="N23" t="s">
        <v>480</v>
      </c>
      <c r="O23">
        <v>1</v>
      </c>
      <c r="P23" t="s">
        <v>128</v>
      </c>
      <c r="Q23">
        <v>15</v>
      </c>
      <c r="R23">
        <v>20</v>
      </c>
      <c r="S23">
        <v>0</v>
      </c>
      <c r="T23">
        <v>15</v>
      </c>
      <c r="U23">
        <v>15</v>
      </c>
      <c r="V23">
        <v>10</v>
      </c>
      <c r="W23">
        <v>0</v>
      </c>
      <c r="X23">
        <v>15</v>
      </c>
      <c r="Y23">
        <v>90</v>
      </c>
      <c r="Z23" t="s">
        <v>9</v>
      </c>
      <c r="AA23" t="s">
        <v>129</v>
      </c>
    </row>
    <row r="24" spans="1:27">
      <c r="A24" t="s">
        <v>966</v>
      </c>
      <c r="B24" t="s">
        <v>571</v>
      </c>
      <c r="E24">
        <v>5800440256</v>
      </c>
      <c r="F24" t="s">
        <v>10</v>
      </c>
      <c r="G24" t="s">
        <v>107</v>
      </c>
      <c r="H24" t="s">
        <v>108</v>
      </c>
      <c r="I24" t="s">
        <v>42</v>
      </c>
      <c r="J24" t="s">
        <v>437</v>
      </c>
      <c r="P24" t="s">
        <v>439</v>
      </c>
      <c r="Q24">
        <v>20</v>
      </c>
      <c r="R24">
        <v>20</v>
      </c>
      <c r="S24">
        <v>20</v>
      </c>
      <c r="T24">
        <v>10</v>
      </c>
      <c r="U24">
        <v>20</v>
      </c>
      <c r="V24" t="s">
        <v>45</v>
      </c>
      <c r="W24" t="s">
        <v>45</v>
      </c>
      <c r="X24" t="s">
        <v>45</v>
      </c>
      <c r="Y24">
        <v>90</v>
      </c>
      <c r="Z24" t="s">
        <v>9</v>
      </c>
      <c r="AA24" t="s">
        <v>481</v>
      </c>
    </row>
    <row r="25" spans="1:27">
      <c r="E25">
        <v>7943790134</v>
      </c>
      <c r="F25" t="s">
        <v>11</v>
      </c>
      <c r="G25" t="s">
        <v>131</v>
      </c>
      <c r="H25" t="s">
        <v>132</v>
      </c>
      <c r="I25" t="s">
        <v>51</v>
      </c>
      <c r="J25" t="s">
        <v>130</v>
      </c>
      <c r="K25" t="s">
        <v>482</v>
      </c>
      <c r="M25" t="s">
        <v>443</v>
      </c>
      <c r="N25" t="s">
        <v>480</v>
      </c>
      <c r="O25">
        <v>1</v>
      </c>
      <c r="P25" t="s">
        <v>134</v>
      </c>
      <c r="Q25">
        <v>15</v>
      </c>
      <c r="R25">
        <v>10</v>
      </c>
      <c r="S25">
        <v>5</v>
      </c>
      <c r="T25">
        <v>15</v>
      </c>
      <c r="U25">
        <v>15</v>
      </c>
      <c r="V25">
        <v>10</v>
      </c>
      <c r="W25">
        <v>0</v>
      </c>
      <c r="X25">
        <v>15</v>
      </c>
      <c r="Y25">
        <v>85</v>
      </c>
      <c r="Z25" t="s">
        <v>9</v>
      </c>
      <c r="AA25" t="s">
        <v>135</v>
      </c>
    </row>
    <row r="26" spans="1:27">
      <c r="A26" t="s">
        <v>966</v>
      </c>
      <c r="B26" t="s">
        <v>989</v>
      </c>
      <c r="E26">
        <v>7900453110</v>
      </c>
      <c r="F26" t="s">
        <v>11</v>
      </c>
      <c r="G26" t="s">
        <v>137</v>
      </c>
      <c r="H26" t="s">
        <v>41</v>
      </c>
      <c r="I26" t="s">
        <v>42</v>
      </c>
      <c r="J26" t="s">
        <v>136</v>
      </c>
      <c r="K26" t="s">
        <v>451</v>
      </c>
      <c r="L26" t="s">
        <v>990</v>
      </c>
      <c r="N26" t="s">
        <v>480</v>
      </c>
      <c r="O26">
        <v>1</v>
      </c>
      <c r="P26" t="s">
        <v>139</v>
      </c>
      <c r="Q26">
        <v>15</v>
      </c>
      <c r="R26">
        <v>10</v>
      </c>
      <c r="S26">
        <v>5</v>
      </c>
      <c r="T26">
        <v>15</v>
      </c>
      <c r="U26">
        <v>15</v>
      </c>
      <c r="V26">
        <v>10</v>
      </c>
      <c r="W26">
        <v>0</v>
      </c>
      <c r="X26">
        <v>15</v>
      </c>
      <c r="Y26">
        <v>85</v>
      </c>
      <c r="Z26" t="s">
        <v>9</v>
      </c>
      <c r="AA26" t="s">
        <v>140</v>
      </c>
    </row>
    <row r="27" spans="1:27">
      <c r="E27">
        <v>7925871077</v>
      </c>
      <c r="F27" t="s">
        <v>11</v>
      </c>
      <c r="G27" t="s">
        <v>144</v>
      </c>
      <c r="H27" t="s">
        <v>57</v>
      </c>
      <c r="I27" t="s">
        <v>51</v>
      </c>
      <c r="J27" t="s">
        <v>143</v>
      </c>
      <c r="K27" t="s">
        <v>484</v>
      </c>
      <c r="N27" t="s">
        <v>480</v>
      </c>
      <c r="O27">
        <v>1</v>
      </c>
      <c r="P27" t="s">
        <v>146</v>
      </c>
      <c r="Q27">
        <v>15</v>
      </c>
      <c r="R27">
        <v>10</v>
      </c>
      <c r="S27">
        <v>15</v>
      </c>
      <c r="T27">
        <v>15</v>
      </c>
      <c r="U27">
        <v>15</v>
      </c>
      <c r="V27">
        <v>10</v>
      </c>
      <c r="W27">
        <v>0</v>
      </c>
      <c r="X27">
        <v>0</v>
      </c>
      <c r="Y27">
        <v>80</v>
      </c>
      <c r="Z27" t="s">
        <v>9</v>
      </c>
      <c r="AA27" t="s">
        <v>147</v>
      </c>
    </row>
    <row r="28" spans="1:27">
      <c r="A28" t="s">
        <v>966</v>
      </c>
      <c r="B28" t="s">
        <v>991</v>
      </c>
      <c r="E28">
        <v>5803327001</v>
      </c>
      <c r="F28" t="s">
        <v>10</v>
      </c>
      <c r="G28" t="s">
        <v>41</v>
      </c>
      <c r="H28" t="s">
        <v>41</v>
      </c>
      <c r="I28" t="s">
        <v>42</v>
      </c>
      <c r="J28" t="s">
        <v>992</v>
      </c>
      <c r="K28" t="s">
        <v>485</v>
      </c>
      <c r="L28" t="s">
        <v>486</v>
      </c>
      <c r="N28" t="s">
        <v>487</v>
      </c>
      <c r="O28">
        <v>1</v>
      </c>
      <c r="P28" t="s">
        <v>150</v>
      </c>
      <c r="Q28">
        <v>40</v>
      </c>
      <c r="R28">
        <v>0</v>
      </c>
      <c r="S28">
        <v>0</v>
      </c>
      <c r="T28">
        <v>20</v>
      </c>
      <c r="U28">
        <v>20</v>
      </c>
      <c r="V28" t="s">
        <v>45</v>
      </c>
      <c r="W28" t="s">
        <v>45</v>
      </c>
      <c r="X28" t="s">
        <v>45</v>
      </c>
      <c r="Y28">
        <v>80</v>
      </c>
      <c r="Z28" t="s">
        <v>13</v>
      </c>
      <c r="AA28" t="s">
        <v>151</v>
      </c>
    </row>
    <row r="29" spans="1:27">
      <c r="E29">
        <v>7900230155</v>
      </c>
      <c r="F29" t="s">
        <v>11</v>
      </c>
      <c r="G29" t="s">
        <v>153</v>
      </c>
      <c r="H29" t="s">
        <v>154</v>
      </c>
      <c r="I29" t="s">
        <v>51</v>
      </c>
      <c r="J29" t="s">
        <v>152</v>
      </c>
      <c r="K29" t="s">
        <v>471</v>
      </c>
      <c r="M29" t="s">
        <v>443</v>
      </c>
      <c r="N29" t="s">
        <v>489</v>
      </c>
      <c r="O29">
        <v>1</v>
      </c>
      <c r="P29" t="s">
        <v>156</v>
      </c>
      <c r="Q29">
        <v>15</v>
      </c>
      <c r="R29">
        <v>20</v>
      </c>
      <c r="S29">
        <v>5</v>
      </c>
      <c r="T29">
        <v>15</v>
      </c>
      <c r="U29">
        <v>0</v>
      </c>
      <c r="V29">
        <v>10</v>
      </c>
      <c r="W29">
        <v>0</v>
      </c>
      <c r="X29">
        <v>15</v>
      </c>
      <c r="Y29">
        <v>80</v>
      </c>
      <c r="Z29" t="s">
        <v>9</v>
      </c>
      <c r="AA29" t="s">
        <v>157</v>
      </c>
    </row>
    <row r="30" spans="1:27">
      <c r="E30">
        <v>7900543083</v>
      </c>
      <c r="F30" t="s">
        <v>11</v>
      </c>
      <c r="G30" t="s">
        <v>490</v>
      </c>
      <c r="H30" t="s">
        <v>62</v>
      </c>
      <c r="I30" t="s">
        <v>42</v>
      </c>
      <c r="J30" t="s">
        <v>437</v>
      </c>
      <c r="M30" t="s">
        <v>438</v>
      </c>
      <c r="P30" t="s">
        <v>439</v>
      </c>
      <c r="Q30">
        <v>15</v>
      </c>
      <c r="R30">
        <v>20</v>
      </c>
      <c r="S30">
        <v>5</v>
      </c>
      <c r="T30">
        <v>15</v>
      </c>
      <c r="U30">
        <v>0</v>
      </c>
      <c r="V30">
        <v>0</v>
      </c>
      <c r="W30">
        <v>10</v>
      </c>
      <c r="X30">
        <v>15</v>
      </c>
      <c r="Y30">
        <v>80</v>
      </c>
      <c r="Z30" t="s">
        <v>9</v>
      </c>
      <c r="AA30" t="s">
        <v>491</v>
      </c>
    </row>
    <row r="31" spans="1:27">
      <c r="E31">
        <v>7900930040</v>
      </c>
      <c r="F31" t="s">
        <v>11</v>
      </c>
      <c r="G31" t="s">
        <v>492</v>
      </c>
      <c r="H31" t="s">
        <v>57</v>
      </c>
      <c r="I31" t="s">
        <v>51</v>
      </c>
      <c r="J31" t="s">
        <v>437</v>
      </c>
      <c r="M31" t="s">
        <v>438</v>
      </c>
      <c r="P31" t="s">
        <v>439</v>
      </c>
      <c r="Q31">
        <v>15</v>
      </c>
      <c r="R31">
        <v>20</v>
      </c>
      <c r="S31">
        <v>5</v>
      </c>
      <c r="T31">
        <v>15</v>
      </c>
      <c r="U31">
        <v>0</v>
      </c>
      <c r="V31">
        <v>0</v>
      </c>
      <c r="W31">
        <v>10</v>
      </c>
      <c r="X31">
        <v>15</v>
      </c>
      <c r="Y31">
        <v>80</v>
      </c>
      <c r="Z31" t="s">
        <v>9</v>
      </c>
      <c r="AA31" t="s">
        <v>493</v>
      </c>
    </row>
    <row r="32" spans="1:27">
      <c r="E32">
        <v>7931383086</v>
      </c>
      <c r="F32" t="s">
        <v>11</v>
      </c>
      <c r="G32" t="s">
        <v>209</v>
      </c>
      <c r="H32" t="s">
        <v>210</v>
      </c>
      <c r="I32" t="s">
        <v>42</v>
      </c>
      <c r="J32" t="s">
        <v>437</v>
      </c>
      <c r="M32" t="s">
        <v>438</v>
      </c>
      <c r="P32" t="s">
        <v>439</v>
      </c>
      <c r="Q32">
        <v>15</v>
      </c>
      <c r="R32">
        <v>20</v>
      </c>
      <c r="S32">
        <v>5</v>
      </c>
      <c r="T32">
        <v>15</v>
      </c>
      <c r="U32">
        <v>0</v>
      </c>
      <c r="V32">
        <v>10</v>
      </c>
      <c r="W32">
        <v>0</v>
      </c>
      <c r="X32">
        <v>15</v>
      </c>
      <c r="Y32">
        <v>80</v>
      </c>
      <c r="Z32" t="s">
        <v>9</v>
      </c>
      <c r="AA32" t="s">
        <v>494</v>
      </c>
    </row>
    <row r="33" spans="1:27">
      <c r="A33" t="s">
        <v>966</v>
      </c>
      <c r="B33" t="s">
        <v>986</v>
      </c>
      <c r="E33">
        <v>7908302256</v>
      </c>
      <c r="F33" t="s">
        <v>11</v>
      </c>
      <c r="G33" t="s">
        <v>107</v>
      </c>
      <c r="H33" t="s">
        <v>108</v>
      </c>
      <c r="I33" t="s">
        <v>42</v>
      </c>
      <c r="J33" t="s">
        <v>437</v>
      </c>
      <c r="K33" t="s">
        <v>484</v>
      </c>
      <c r="L33" t="s">
        <v>993</v>
      </c>
      <c r="P33" t="s">
        <v>439</v>
      </c>
      <c r="Q33">
        <v>5</v>
      </c>
      <c r="R33">
        <v>10</v>
      </c>
      <c r="S33">
        <v>5</v>
      </c>
      <c r="T33">
        <v>15</v>
      </c>
      <c r="U33">
        <v>15</v>
      </c>
      <c r="V33">
        <v>10</v>
      </c>
      <c r="W33">
        <v>0</v>
      </c>
      <c r="X33">
        <v>15</v>
      </c>
      <c r="Y33">
        <v>75</v>
      </c>
      <c r="Z33" t="s">
        <v>13</v>
      </c>
      <c r="AA33" t="s">
        <v>160</v>
      </c>
    </row>
    <row r="34" spans="1:27">
      <c r="E34">
        <v>5800371025</v>
      </c>
      <c r="F34" t="s">
        <v>10</v>
      </c>
      <c r="G34" t="s">
        <v>162</v>
      </c>
      <c r="H34" t="s">
        <v>154</v>
      </c>
      <c r="I34" t="s">
        <v>51</v>
      </c>
      <c r="J34" t="s">
        <v>942</v>
      </c>
      <c r="K34" t="s">
        <v>467</v>
      </c>
      <c r="L34" t="s">
        <v>504</v>
      </c>
      <c r="M34" t="s">
        <v>443</v>
      </c>
      <c r="N34" t="s">
        <v>460</v>
      </c>
      <c r="O34">
        <v>1</v>
      </c>
      <c r="P34" t="s">
        <v>994</v>
      </c>
      <c r="Q34">
        <v>0</v>
      </c>
      <c r="R34">
        <v>20</v>
      </c>
      <c r="S34">
        <v>20</v>
      </c>
      <c r="T34">
        <v>10</v>
      </c>
      <c r="U34">
        <v>20</v>
      </c>
      <c r="V34" t="s">
        <v>45</v>
      </c>
      <c r="W34" t="s">
        <v>45</v>
      </c>
      <c r="X34" t="s">
        <v>45</v>
      </c>
      <c r="Y34">
        <v>70</v>
      </c>
      <c r="Z34" t="s">
        <v>13</v>
      </c>
      <c r="AA34" t="s">
        <v>165</v>
      </c>
    </row>
    <row r="35" spans="1:27">
      <c r="A35" t="s">
        <v>973</v>
      </c>
      <c r="B35" t="s">
        <v>995</v>
      </c>
      <c r="D35" t="e" cm="1">
        <f t="array" ref="D35">_xlfn.XLOOKUP(_xlfn.NUMBERVALUE(E35),_xlfn.NUMBERVALUE([1]Planilha1!$C$2:$C$34),[1]Planilha1!$T$3:$T$34)</f>
        <v>#VALUE!</v>
      </c>
      <c r="E35">
        <v>7926089013</v>
      </c>
      <c r="F35" t="s">
        <v>11</v>
      </c>
      <c r="G35" t="s">
        <v>97</v>
      </c>
      <c r="H35" t="s">
        <v>97</v>
      </c>
      <c r="I35" t="s">
        <v>42</v>
      </c>
      <c r="J35" t="s">
        <v>171</v>
      </c>
      <c r="K35" t="s">
        <v>451</v>
      </c>
      <c r="N35" t="s">
        <v>480</v>
      </c>
      <c r="O35">
        <v>1</v>
      </c>
      <c r="P35" t="s">
        <v>173</v>
      </c>
      <c r="Q35">
        <v>15</v>
      </c>
      <c r="R35">
        <v>10</v>
      </c>
      <c r="S35">
        <v>5</v>
      </c>
      <c r="T35">
        <v>15</v>
      </c>
      <c r="U35">
        <v>15</v>
      </c>
      <c r="V35">
        <v>10</v>
      </c>
      <c r="W35">
        <v>0</v>
      </c>
      <c r="X35">
        <v>0</v>
      </c>
      <c r="Y35">
        <v>70</v>
      </c>
      <c r="Z35" t="s">
        <v>13</v>
      </c>
      <c r="AA35" t="s">
        <v>174</v>
      </c>
    </row>
    <row r="36" spans="1:27">
      <c r="E36">
        <v>7925087021</v>
      </c>
      <c r="F36" t="s">
        <v>11</v>
      </c>
      <c r="G36" t="s">
        <v>176</v>
      </c>
      <c r="H36" t="s">
        <v>177</v>
      </c>
      <c r="I36" t="s">
        <v>76</v>
      </c>
      <c r="J36" t="s">
        <v>996</v>
      </c>
      <c r="K36" t="s">
        <v>445</v>
      </c>
      <c r="L36" t="s">
        <v>496</v>
      </c>
      <c r="M36" t="s">
        <v>443</v>
      </c>
      <c r="N36" t="s">
        <v>480</v>
      </c>
      <c r="O36">
        <v>1</v>
      </c>
      <c r="P36" t="s">
        <v>179</v>
      </c>
      <c r="Q36">
        <v>15</v>
      </c>
      <c r="R36">
        <v>10</v>
      </c>
      <c r="S36">
        <v>5</v>
      </c>
      <c r="T36">
        <v>0</v>
      </c>
      <c r="U36">
        <v>15</v>
      </c>
      <c r="V36">
        <v>10</v>
      </c>
      <c r="W36">
        <v>0</v>
      </c>
      <c r="X36">
        <v>15</v>
      </c>
      <c r="Y36">
        <v>70</v>
      </c>
      <c r="Z36" t="s">
        <v>13</v>
      </c>
      <c r="AA36" t="s">
        <v>180</v>
      </c>
    </row>
    <row r="37" spans="1:27">
      <c r="A37" t="s">
        <v>973</v>
      </c>
      <c r="B37" s="7" t="s">
        <v>997</v>
      </c>
      <c r="C37" s="7"/>
      <c r="D37" t="e" cm="1">
        <f t="array" ref="D37">_xlfn.XLOOKUP(_xlfn.NUMBERVALUE(E37),_xlfn.NUMBERVALUE([1]Planilha1!$C$2:$C$34),[1]Planilha1!$T$3:$T$34)</f>
        <v>#VALUE!</v>
      </c>
      <c r="E37">
        <v>5801866013</v>
      </c>
      <c r="F37" t="s">
        <v>10</v>
      </c>
      <c r="G37" t="s">
        <v>97</v>
      </c>
      <c r="H37" t="s">
        <v>97</v>
      </c>
      <c r="I37" t="s">
        <v>42</v>
      </c>
      <c r="J37" t="s">
        <v>670</v>
      </c>
      <c r="K37" t="s">
        <v>445</v>
      </c>
      <c r="L37" t="s">
        <v>496</v>
      </c>
      <c r="M37" t="s">
        <v>443</v>
      </c>
      <c r="N37" t="s">
        <v>444</v>
      </c>
      <c r="O37">
        <v>1</v>
      </c>
      <c r="P37" t="s">
        <v>671</v>
      </c>
      <c r="Q37">
        <v>0</v>
      </c>
      <c r="R37">
        <v>20</v>
      </c>
      <c r="S37">
        <v>20</v>
      </c>
      <c r="T37">
        <v>20</v>
      </c>
      <c r="U37">
        <v>10</v>
      </c>
      <c r="V37" t="s">
        <v>45</v>
      </c>
      <c r="W37" t="s">
        <v>45</v>
      </c>
      <c r="X37" t="s">
        <v>45</v>
      </c>
      <c r="Y37">
        <v>70</v>
      </c>
      <c r="Z37" t="s">
        <v>13</v>
      </c>
      <c r="AA37" t="s">
        <v>184</v>
      </c>
    </row>
    <row r="38" spans="1:27">
      <c r="E38">
        <v>5865120195</v>
      </c>
      <c r="F38" t="s">
        <v>10</v>
      </c>
      <c r="G38" t="s">
        <v>167</v>
      </c>
      <c r="H38" t="s">
        <v>50</v>
      </c>
      <c r="I38" t="s">
        <v>51</v>
      </c>
      <c r="J38" t="s">
        <v>166</v>
      </c>
      <c r="K38" t="s">
        <v>471</v>
      </c>
      <c r="N38" t="s">
        <v>497</v>
      </c>
      <c r="O38">
        <v>1</v>
      </c>
      <c r="P38" t="s">
        <v>169</v>
      </c>
      <c r="Q38">
        <v>20</v>
      </c>
      <c r="R38">
        <v>20</v>
      </c>
      <c r="S38">
        <v>20</v>
      </c>
      <c r="T38">
        <v>10</v>
      </c>
      <c r="U38">
        <v>0</v>
      </c>
      <c r="V38" t="s">
        <v>45</v>
      </c>
      <c r="W38" t="s">
        <v>45</v>
      </c>
      <c r="X38" t="s">
        <v>45</v>
      </c>
      <c r="Y38">
        <v>70</v>
      </c>
      <c r="Z38" t="s">
        <v>13</v>
      </c>
      <c r="AA38" t="s">
        <v>170</v>
      </c>
    </row>
    <row r="39" spans="1:27">
      <c r="A39" t="s">
        <v>998</v>
      </c>
      <c r="E39">
        <v>5853360007</v>
      </c>
      <c r="F39" t="s">
        <v>10</v>
      </c>
      <c r="G39" t="s">
        <v>186</v>
      </c>
      <c r="H39" t="s">
        <v>186</v>
      </c>
      <c r="I39" t="s">
        <v>42</v>
      </c>
      <c r="J39" t="s">
        <v>185</v>
      </c>
      <c r="K39" t="s">
        <v>498</v>
      </c>
      <c r="L39" t="s">
        <v>499</v>
      </c>
      <c r="N39" t="s">
        <v>497</v>
      </c>
      <c r="O39">
        <v>1</v>
      </c>
      <c r="P39" t="s">
        <v>188</v>
      </c>
      <c r="Q39">
        <v>0</v>
      </c>
      <c r="R39">
        <v>20</v>
      </c>
      <c r="S39">
        <v>20</v>
      </c>
      <c r="T39">
        <v>10</v>
      </c>
      <c r="U39">
        <v>20</v>
      </c>
      <c r="V39" t="s">
        <v>45</v>
      </c>
      <c r="W39" t="s">
        <v>45</v>
      </c>
      <c r="X39" t="s">
        <v>45</v>
      </c>
      <c r="Y39">
        <v>70</v>
      </c>
      <c r="Z39" t="s">
        <v>13</v>
      </c>
      <c r="AA39" t="s">
        <v>189</v>
      </c>
    </row>
    <row r="40" spans="1:27">
      <c r="E40">
        <v>5800366016</v>
      </c>
      <c r="F40" t="s">
        <v>10</v>
      </c>
      <c r="G40" t="s">
        <v>500</v>
      </c>
      <c r="H40" t="s">
        <v>223</v>
      </c>
      <c r="I40" t="s">
        <v>51</v>
      </c>
      <c r="J40" t="s">
        <v>437</v>
      </c>
      <c r="M40" t="s">
        <v>438</v>
      </c>
      <c r="P40" t="s">
        <v>439</v>
      </c>
      <c r="Q40">
        <v>0</v>
      </c>
      <c r="R40">
        <v>20</v>
      </c>
      <c r="S40">
        <v>20</v>
      </c>
      <c r="T40">
        <v>20</v>
      </c>
      <c r="U40">
        <v>10</v>
      </c>
      <c r="V40" t="s">
        <v>45</v>
      </c>
      <c r="W40" t="s">
        <v>45</v>
      </c>
      <c r="X40" t="s">
        <v>45</v>
      </c>
      <c r="Y40">
        <v>70</v>
      </c>
      <c r="Z40" t="s">
        <v>13</v>
      </c>
      <c r="AA40" t="s">
        <v>501</v>
      </c>
    </row>
    <row r="41" spans="1:27">
      <c r="E41">
        <v>7955523028</v>
      </c>
      <c r="F41" t="s">
        <v>11</v>
      </c>
      <c r="G41" t="s">
        <v>502</v>
      </c>
      <c r="H41" t="s">
        <v>75</v>
      </c>
      <c r="I41" t="s">
        <v>76</v>
      </c>
      <c r="J41" t="s">
        <v>437</v>
      </c>
      <c r="M41" t="s">
        <v>438</v>
      </c>
      <c r="P41" t="s">
        <v>439</v>
      </c>
      <c r="Q41">
        <v>15</v>
      </c>
      <c r="R41">
        <v>10</v>
      </c>
      <c r="S41">
        <v>5</v>
      </c>
      <c r="T41">
        <v>15</v>
      </c>
      <c r="U41">
        <v>15</v>
      </c>
      <c r="V41">
        <v>10</v>
      </c>
      <c r="W41">
        <v>0</v>
      </c>
      <c r="X41">
        <v>0</v>
      </c>
      <c r="Y41">
        <v>70</v>
      </c>
      <c r="Z41" t="s">
        <v>13</v>
      </c>
      <c r="AA41" t="s">
        <v>503</v>
      </c>
    </row>
    <row r="42" spans="1:27">
      <c r="E42">
        <v>7900573047</v>
      </c>
      <c r="F42" t="s">
        <v>11</v>
      </c>
      <c r="G42" t="s">
        <v>191</v>
      </c>
      <c r="H42" t="s">
        <v>449</v>
      </c>
      <c r="I42" t="s">
        <v>76</v>
      </c>
      <c r="J42" t="s">
        <v>999</v>
      </c>
      <c r="K42" t="s">
        <v>445</v>
      </c>
      <c r="L42" t="s">
        <v>496</v>
      </c>
      <c r="M42" t="s">
        <v>443</v>
      </c>
      <c r="N42" t="s">
        <v>469</v>
      </c>
      <c r="O42">
        <v>1</v>
      </c>
      <c r="P42" t="s">
        <v>194</v>
      </c>
      <c r="Q42">
        <v>5</v>
      </c>
      <c r="R42">
        <v>5</v>
      </c>
      <c r="S42">
        <v>15</v>
      </c>
      <c r="T42">
        <v>0</v>
      </c>
      <c r="U42">
        <v>15</v>
      </c>
      <c r="V42">
        <v>10</v>
      </c>
      <c r="W42">
        <v>0</v>
      </c>
      <c r="X42">
        <v>15</v>
      </c>
      <c r="Y42">
        <v>65</v>
      </c>
      <c r="Z42" t="s">
        <v>13</v>
      </c>
      <c r="AA42" t="s">
        <v>195</v>
      </c>
    </row>
    <row r="43" spans="1:27">
      <c r="A43" t="s">
        <v>966</v>
      </c>
      <c r="B43" t="s">
        <v>1000</v>
      </c>
      <c r="E43">
        <v>7953610256</v>
      </c>
      <c r="F43" t="s">
        <v>11</v>
      </c>
      <c r="G43" t="s">
        <v>107</v>
      </c>
      <c r="H43" t="s">
        <v>108</v>
      </c>
      <c r="I43" t="s">
        <v>42</v>
      </c>
      <c r="J43" t="s">
        <v>1001</v>
      </c>
      <c r="K43" t="s">
        <v>467</v>
      </c>
      <c r="L43" t="s">
        <v>504</v>
      </c>
      <c r="N43" t="s">
        <v>465</v>
      </c>
      <c r="O43">
        <v>1</v>
      </c>
      <c r="P43" t="s">
        <v>1002</v>
      </c>
      <c r="Q43">
        <v>5</v>
      </c>
      <c r="R43">
        <v>5</v>
      </c>
      <c r="S43">
        <v>15</v>
      </c>
      <c r="T43">
        <v>15</v>
      </c>
      <c r="U43">
        <v>0</v>
      </c>
      <c r="V43">
        <v>0</v>
      </c>
      <c r="W43">
        <v>10</v>
      </c>
      <c r="X43">
        <v>15</v>
      </c>
      <c r="Y43">
        <v>65</v>
      </c>
      <c r="Z43" t="s">
        <v>13</v>
      </c>
      <c r="AA43" t="s">
        <v>198</v>
      </c>
    </row>
    <row r="44" spans="1:27">
      <c r="E44">
        <v>5800438116</v>
      </c>
      <c r="F44" t="s">
        <v>10</v>
      </c>
      <c r="G44" t="s">
        <v>200</v>
      </c>
      <c r="H44" t="s">
        <v>75</v>
      </c>
      <c r="I44" t="s">
        <v>76</v>
      </c>
      <c r="J44" t="s">
        <v>199</v>
      </c>
      <c r="K44" t="s">
        <v>445</v>
      </c>
      <c r="L44" t="s">
        <v>496</v>
      </c>
      <c r="M44" t="s">
        <v>443</v>
      </c>
      <c r="N44" t="s">
        <v>444</v>
      </c>
      <c r="O44">
        <v>2</v>
      </c>
      <c r="P44" t="s">
        <v>201</v>
      </c>
      <c r="Q44">
        <v>0</v>
      </c>
      <c r="R44">
        <v>20</v>
      </c>
      <c r="S44">
        <v>20</v>
      </c>
      <c r="T44">
        <v>20</v>
      </c>
      <c r="U44">
        <v>0</v>
      </c>
      <c r="V44" t="s">
        <v>45</v>
      </c>
      <c r="W44" t="s">
        <v>45</v>
      </c>
      <c r="X44" t="s">
        <v>45</v>
      </c>
      <c r="Y44">
        <v>60</v>
      </c>
      <c r="Z44" t="s">
        <v>14</v>
      </c>
      <c r="AA44" t="s">
        <v>202</v>
      </c>
    </row>
    <row r="45" spans="1:27">
      <c r="E45">
        <v>5800090147</v>
      </c>
      <c r="F45" t="s">
        <v>10</v>
      </c>
      <c r="G45" t="s">
        <v>506</v>
      </c>
      <c r="H45" t="s">
        <v>75</v>
      </c>
      <c r="I45" t="s">
        <v>76</v>
      </c>
      <c r="J45" t="s">
        <v>1003</v>
      </c>
      <c r="P45" t="s">
        <v>1004</v>
      </c>
      <c r="Q45">
        <v>0</v>
      </c>
      <c r="R45">
        <v>20</v>
      </c>
      <c r="S45">
        <v>20</v>
      </c>
      <c r="T45">
        <v>10</v>
      </c>
      <c r="U45">
        <v>10</v>
      </c>
      <c r="V45" t="s">
        <v>45</v>
      </c>
      <c r="W45" t="s">
        <v>45</v>
      </c>
      <c r="X45" t="s">
        <v>45</v>
      </c>
      <c r="Y45">
        <v>60</v>
      </c>
      <c r="Z45" t="s">
        <v>14</v>
      </c>
      <c r="AA45" t="s">
        <v>507</v>
      </c>
    </row>
    <row r="46" spans="1:27">
      <c r="E46">
        <v>5840227063</v>
      </c>
      <c r="F46" t="s">
        <v>10</v>
      </c>
      <c r="G46" t="s">
        <v>204</v>
      </c>
      <c r="H46" t="s">
        <v>154</v>
      </c>
      <c r="I46" t="s">
        <v>51</v>
      </c>
      <c r="J46" t="s">
        <v>1005</v>
      </c>
      <c r="K46" t="s">
        <v>495</v>
      </c>
      <c r="P46" t="s">
        <v>508</v>
      </c>
      <c r="Q46">
        <v>0</v>
      </c>
      <c r="R46">
        <v>20</v>
      </c>
      <c r="S46">
        <v>20</v>
      </c>
      <c r="T46">
        <v>10</v>
      </c>
      <c r="U46">
        <v>10</v>
      </c>
      <c r="V46" t="s">
        <v>45</v>
      </c>
      <c r="W46" t="s">
        <v>45</v>
      </c>
      <c r="X46" t="s">
        <v>45</v>
      </c>
      <c r="Y46">
        <v>60</v>
      </c>
      <c r="Z46" t="s">
        <v>14</v>
      </c>
      <c r="AA46" t="s">
        <v>207</v>
      </c>
    </row>
    <row r="47" spans="1:27">
      <c r="E47">
        <v>5846328094</v>
      </c>
      <c r="F47" t="s">
        <v>10</v>
      </c>
      <c r="G47" t="s">
        <v>177</v>
      </c>
      <c r="H47" t="s">
        <v>177</v>
      </c>
      <c r="I47" t="s">
        <v>76</v>
      </c>
      <c r="J47" t="s">
        <v>214</v>
      </c>
      <c r="K47" t="s">
        <v>482</v>
      </c>
      <c r="M47" t="s">
        <v>443</v>
      </c>
      <c r="N47" t="s">
        <v>497</v>
      </c>
      <c r="O47">
        <v>1</v>
      </c>
      <c r="P47" t="s">
        <v>216</v>
      </c>
      <c r="Q47">
        <v>0</v>
      </c>
      <c r="R47">
        <v>20</v>
      </c>
      <c r="S47">
        <v>20</v>
      </c>
      <c r="T47">
        <v>10</v>
      </c>
      <c r="U47">
        <v>10</v>
      </c>
      <c r="V47" t="s">
        <v>45</v>
      </c>
      <c r="W47" t="s">
        <v>45</v>
      </c>
      <c r="X47" t="s">
        <v>45</v>
      </c>
      <c r="Y47">
        <v>60</v>
      </c>
      <c r="Z47" t="s">
        <v>14</v>
      </c>
      <c r="AA47" t="s">
        <v>217</v>
      </c>
    </row>
    <row r="48" spans="1:27">
      <c r="E48">
        <v>5851753086</v>
      </c>
      <c r="F48" t="s">
        <v>10</v>
      </c>
      <c r="G48" t="s">
        <v>209</v>
      </c>
      <c r="H48" t="s">
        <v>210</v>
      </c>
      <c r="I48" t="s">
        <v>42</v>
      </c>
      <c r="J48" t="s">
        <v>208</v>
      </c>
      <c r="K48" t="s">
        <v>482</v>
      </c>
      <c r="M48" t="s">
        <v>443</v>
      </c>
      <c r="N48" t="s">
        <v>497</v>
      </c>
      <c r="O48">
        <v>1</v>
      </c>
      <c r="P48" t="s">
        <v>212</v>
      </c>
      <c r="Q48">
        <v>0</v>
      </c>
      <c r="R48">
        <v>20</v>
      </c>
      <c r="S48">
        <v>20</v>
      </c>
      <c r="T48">
        <v>10</v>
      </c>
      <c r="U48">
        <v>10</v>
      </c>
      <c r="V48" t="s">
        <v>45</v>
      </c>
      <c r="W48" t="s">
        <v>45</v>
      </c>
      <c r="X48" t="s">
        <v>45</v>
      </c>
      <c r="Y48">
        <v>60</v>
      </c>
      <c r="Z48" t="s">
        <v>14</v>
      </c>
      <c r="AA48" t="s">
        <v>213</v>
      </c>
    </row>
    <row r="49" spans="1:27">
      <c r="E49">
        <v>7903112004</v>
      </c>
      <c r="F49" t="s">
        <v>11</v>
      </c>
      <c r="G49" t="s">
        <v>57</v>
      </c>
      <c r="H49" t="s">
        <v>57</v>
      </c>
      <c r="I49" t="s">
        <v>51</v>
      </c>
      <c r="J49" t="s">
        <v>218</v>
      </c>
      <c r="K49" t="s">
        <v>467</v>
      </c>
      <c r="L49" t="s">
        <v>509</v>
      </c>
      <c r="M49" t="s">
        <v>443</v>
      </c>
      <c r="N49" t="s">
        <v>480</v>
      </c>
      <c r="O49">
        <v>1</v>
      </c>
      <c r="P49" t="s">
        <v>1006</v>
      </c>
      <c r="Q49">
        <v>15</v>
      </c>
      <c r="R49">
        <v>10</v>
      </c>
      <c r="S49">
        <v>5</v>
      </c>
      <c r="T49">
        <v>15</v>
      </c>
      <c r="U49">
        <v>0</v>
      </c>
      <c r="V49">
        <v>10</v>
      </c>
      <c r="W49">
        <v>0</v>
      </c>
      <c r="X49">
        <v>0</v>
      </c>
      <c r="Y49">
        <v>55</v>
      </c>
      <c r="Z49" t="s">
        <v>13</v>
      </c>
      <c r="AA49" t="s">
        <v>220</v>
      </c>
    </row>
    <row r="50" spans="1:27">
      <c r="E50">
        <v>7920024127</v>
      </c>
      <c r="F50" t="s">
        <v>11</v>
      </c>
      <c r="G50" t="s">
        <v>222</v>
      </c>
      <c r="H50" t="s">
        <v>223</v>
      </c>
      <c r="I50" t="s">
        <v>51</v>
      </c>
      <c r="J50" t="s">
        <v>221</v>
      </c>
      <c r="K50" t="s">
        <v>451</v>
      </c>
      <c r="N50" t="s">
        <v>510</v>
      </c>
      <c r="O50">
        <v>1</v>
      </c>
      <c r="P50" t="s">
        <v>225</v>
      </c>
      <c r="Q50">
        <v>15</v>
      </c>
      <c r="R50">
        <v>10</v>
      </c>
      <c r="S50">
        <v>5</v>
      </c>
      <c r="T50">
        <v>15</v>
      </c>
      <c r="U50">
        <v>0</v>
      </c>
      <c r="V50">
        <v>10</v>
      </c>
      <c r="W50">
        <v>0</v>
      </c>
      <c r="X50">
        <v>0</v>
      </c>
      <c r="Y50">
        <v>55</v>
      </c>
      <c r="Z50" t="s">
        <v>13</v>
      </c>
      <c r="AA50" t="s">
        <v>226</v>
      </c>
    </row>
    <row r="51" spans="1:27">
      <c r="A51" t="s">
        <v>966</v>
      </c>
      <c r="B51" t="s">
        <v>989</v>
      </c>
      <c r="E51">
        <v>7927646026</v>
      </c>
      <c r="F51" t="s">
        <v>11</v>
      </c>
      <c r="G51" t="s">
        <v>108</v>
      </c>
      <c r="H51" t="s">
        <v>108</v>
      </c>
      <c r="I51" t="s">
        <v>42</v>
      </c>
      <c r="J51" t="s">
        <v>227</v>
      </c>
      <c r="K51" t="s">
        <v>451</v>
      </c>
      <c r="N51" t="s">
        <v>480</v>
      </c>
      <c r="O51">
        <v>1</v>
      </c>
      <c r="P51" t="s">
        <v>228</v>
      </c>
      <c r="Q51">
        <v>15</v>
      </c>
      <c r="R51">
        <v>10</v>
      </c>
      <c r="S51">
        <v>5</v>
      </c>
      <c r="T51">
        <v>0</v>
      </c>
      <c r="U51">
        <v>15</v>
      </c>
      <c r="V51">
        <v>0</v>
      </c>
      <c r="W51">
        <v>10</v>
      </c>
      <c r="X51">
        <v>0</v>
      </c>
      <c r="Y51">
        <v>55</v>
      </c>
      <c r="Z51" t="s">
        <v>13</v>
      </c>
      <c r="AA51" t="s">
        <v>229</v>
      </c>
    </row>
    <row r="52" spans="1:27">
      <c r="A52" t="s">
        <v>966</v>
      </c>
      <c r="B52" t="s">
        <v>1007</v>
      </c>
      <c r="E52">
        <v>7927169001</v>
      </c>
      <c r="F52" t="s">
        <v>11</v>
      </c>
      <c r="G52" t="s">
        <v>41</v>
      </c>
      <c r="H52" t="s">
        <v>41</v>
      </c>
      <c r="I52" t="s">
        <v>42</v>
      </c>
      <c r="J52" t="s">
        <v>1008</v>
      </c>
      <c r="K52" t="s">
        <v>445</v>
      </c>
      <c r="L52" t="s">
        <v>496</v>
      </c>
      <c r="M52" t="s">
        <v>443</v>
      </c>
      <c r="N52" t="s">
        <v>480</v>
      </c>
      <c r="P52" t="s">
        <v>1009</v>
      </c>
      <c r="Q52">
        <v>5</v>
      </c>
      <c r="R52">
        <v>5</v>
      </c>
      <c r="S52">
        <v>15</v>
      </c>
      <c r="T52">
        <v>0</v>
      </c>
      <c r="U52">
        <v>15</v>
      </c>
      <c r="V52">
        <v>0</v>
      </c>
      <c r="W52">
        <v>0</v>
      </c>
      <c r="X52">
        <v>15</v>
      </c>
      <c r="Y52">
        <v>55</v>
      </c>
      <c r="Z52" t="s">
        <v>13</v>
      </c>
      <c r="AA52" t="s">
        <v>232</v>
      </c>
    </row>
    <row r="53" spans="1:27">
      <c r="E53">
        <v>7900018004</v>
      </c>
      <c r="F53" t="s">
        <v>11</v>
      </c>
      <c r="G53" t="s">
        <v>57</v>
      </c>
      <c r="H53" t="s">
        <v>57</v>
      </c>
      <c r="I53" t="s">
        <v>51</v>
      </c>
      <c r="J53" t="s">
        <v>437</v>
      </c>
      <c r="M53" t="s">
        <v>438</v>
      </c>
      <c r="P53" t="s">
        <v>439</v>
      </c>
      <c r="Q53">
        <v>15</v>
      </c>
      <c r="R53">
        <v>10</v>
      </c>
      <c r="S53">
        <v>5</v>
      </c>
      <c r="T53">
        <v>15</v>
      </c>
      <c r="U53">
        <v>0</v>
      </c>
      <c r="V53">
        <v>10</v>
      </c>
      <c r="W53">
        <v>0</v>
      </c>
      <c r="X53">
        <v>0</v>
      </c>
      <c r="Y53">
        <v>55</v>
      </c>
      <c r="Z53" t="s">
        <v>13</v>
      </c>
      <c r="AA53" t="s">
        <v>511</v>
      </c>
    </row>
    <row r="54" spans="1:27">
      <c r="E54">
        <v>7934698002</v>
      </c>
      <c r="F54" t="s">
        <v>11</v>
      </c>
      <c r="G54" t="s">
        <v>223</v>
      </c>
      <c r="H54" t="s">
        <v>223</v>
      </c>
      <c r="I54" t="s">
        <v>51</v>
      </c>
      <c r="J54" t="s">
        <v>437</v>
      </c>
      <c r="M54" t="s">
        <v>438</v>
      </c>
      <c r="P54" t="s">
        <v>439</v>
      </c>
      <c r="Q54">
        <v>5</v>
      </c>
      <c r="R54">
        <v>5</v>
      </c>
      <c r="S54">
        <v>5</v>
      </c>
      <c r="T54">
        <v>0</v>
      </c>
      <c r="U54">
        <v>15</v>
      </c>
      <c r="V54">
        <v>0</v>
      </c>
      <c r="W54">
        <v>10</v>
      </c>
      <c r="X54">
        <v>15</v>
      </c>
      <c r="Y54">
        <v>55</v>
      </c>
      <c r="Z54" t="s">
        <v>13</v>
      </c>
      <c r="AA54" t="s">
        <v>512</v>
      </c>
    </row>
    <row r="55" spans="1:27">
      <c r="A55" t="s">
        <v>966</v>
      </c>
      <c r="B55" t="s">
        <v>1010</v>
      </c>
      <c r="E55" s="32">
        <v>7930428001</v>
      </c>
      <c r="F55" t="s">
        <v>11</v>
      </c>
      <c r="G55" t="s">
        <v>41</v>
      </c>
      <c r="H55" t="s">
        <v>41</v>
      </c>
      <c r="I55" t="s">
        <v>42</v>
      </c>
      <c r="J55" t="s">
        <v>1011</v>
      </c>
      <c r="K55" t="s">
        <v>484</v>
      </c>
      <c r="N55" t="s">
        <v>480</v>
      </c>
      <c r="O55">
        <v>1</v>
      </c>
      <c r="P55" t="s">
        <v>1012</v>
      </c>
      <c r="Q55">
        <v>5</v>
      </c>
      <c r="R55">
        <v>5</v>
      </c>
      <c r="S55">
        <v>15</v>
      </c>
      <c r="T55">
        <v>0</v>
      </c>
      <c r="U55">
        <v>15</v>
      </c>
      <c r="V55">
        <v>10</v>
      </c>
      <c r="W55">
        <v>0</v>
      </c>
      <c r="X55">
        <v>0</v>
      </c>
      <c r="Y55">
        <v>50</v>
      </c>
      <c r="Z55" t="s">
        <v>13</v>
      </c>
      <c r="AA55" t="s">
        <v>241</v>
      </c>
    </row>
    <row r="56" spans="1:27">
      <c r="E56">
        <v>7936038076</v>
      </c>
      <c r="F56" t="s">
        <v>11</v>
      </c>
      <c r="G56" t="s">
        <v>335</v>
      </c>
      <c r="H56" t="s">
        <v>336</v>
      </c>
      <c r="I56" t="s">
        <v>76</v>
      </c>
      <c r="J56" t="s">
        <v>437</v>
      </c>
      <c r="K56" t="s">
        <v>484</v>
      </c>
      <c r="N56" t="s">
        <v>480</v>
      </c>
      <c r="O56">
        <v>1</v>
      </c>
      <c r="P56" t="s">
        <v>439</v>
      </c>
      <c r="Q56">
        <v>5</v>
      </c>
      <c r="R56">
        <v>5</v>
      </c>
      <c r="S56">
        <v>15</v>
      </c>
      <c r="T56">
        <v>0</v>
      </c>
      <c r="U56">
        <v>15</v>
      </c>
      <c r="V56">
        <v>10</v>
      </c>
      <c r="W56">
        <v>0</v>
      </c>
      <c r="X56">
        <v>0</v>
      </c>
      <c r="Y56">
        <v>50</v>
      </c>
      <c r="Z56" t="s">
        <v>13</v>
      </c>
      <c r="AA56" t="s">
        <v>513</v>
      </c>
    </row>
    <row r="57" spans="1:27">
      <c r="E57">
        <v>7955520116</v>
      </c>
      <c r="F57" t="s">
        <v>11</v>
      </c>
      <c r="G57" t="s">
        <v>200</v>
      </c>
      <c r="H57" t="s">
        <v>75</v>
      </c>
      <c r="I57" t="s">
        <v>76</v>
      </c>
      <c r="J57" t="s">
        <v>437</v>
      </c>
      <c r="K57" t="s">
        <v>467</v>
      </c>
      <c r="L57" t="s">
        <v>1013</v>
      </c>
      <c r="N57" t="s">
        <v>480</v>
      </c>
      <c r="O57">
        <v>1</v>
      </c>
      <c r="P57" t="s">
        <v>439</v>
      </c>
      <c r="Q57">
        <v>5</v>
      </c>
      <c r="R57">
        <v>5</v>
      </c>
      <c r="S57">
        <v>15</v>
      </c>
      <c r="T57">
        <v>0</v>
      </c>
      <c r="U57">
        <v>0</v>
      </c>
      <c r="V57">
        <v>10</v>
      </c>
      <c r="W57">
        <v>0</v>
      </c>
      <c r="X57">
        <v>15</v>
      </c>
      <c r="Y57">
        <v>50</v>
      </c>
      <c r="Z57" t="s">
        <v>13</v>
      </c>
      <c r="AA57" t="s">
        <v>515</v>
      </c>
    </row>
    <row r="58" spans="1:27">
      <c r="E58">
        <v>5800291035</v>
      </c>
      <c r="F58" t="s">
        <v>10</v>
      </c>
      <c r="G58" t="s">
        <v>234</v>
      </c>
      <c r="H58" t="s">
        <v>108</v>
      </c>
      <c r="I58" t="s">
        <v>42</v>
      </c>
      <c r="J58" t="s">
        <v>233</v>
      </c>
      <c r="K58" t="s">
        <v>497</v>
      </c>
      <c r="N58" t="s">
        <v>497</v>
      </c>
      <c r="O58">
        <v>1</v>
      </c>
      <c r="P58" t="s">
        <v>236</v>
      </c>
      <c r="Q58">
        <v>0</v>
      </c>
      <c r="R58">
        <v>20</v>
      </c>
      <c r="S58">
        <v>20</v>
      </c>
      <c r="T58">
        <v>10</v>
      </c>
      <c r="U58">
        <v>0</v>
      </c>
      <c r="V58" t="s">
        <v>45</v>
      </c>
      <c r="W58" t="s">
        <v>45</v>
      </c>
      <c r="X58" t="s">
        <v>45</v>
      </c>
      <c r="Y58">
        <v>50</v>
      </c>
      <c r="Z58" t="s">
        <v>14</v>
      </c>
      <c r="AA58" t="s">
        <v>237</v>
      </c>
    </row>
    <row r="59" spans="1:27">
      <c r="A59" t="s">
        <v>973</v>
      </c>
      <c r="B59" s="7" t="s">
        <v>1014</v>
      </c>
      <c r="C59" s="7"/>
      <c r="D59" t="e" cm="1">
        <f t="array" ref="D59">_xlfn.XLOOKUP(_xlfn.NUMBERVALUE(E59),_xlfn.NUMBERVALUE([1]Planilha1!$C$2:$C$34),[1]Planilha1!$T$3:$T$34)</f>
        <v>#VALUE!</v>
      </c>
      <c r="E59">
        <v>5827102054</v>
      </c>
      <c r="F59" t="s">
        <v>10</v>
      </c>
      <c r="G59" t="s">
        <v>243</v>
      </c>
      <c r="H59" t="s">
        <v>97</v>
      </c>
      <c r="I59" t="s">
        <v>42</v>
      </c>
      <c r="J59" t="s">
        <v>242</v>
      </c>
      <c r="K59" t="s">
        <v>1015</v>
      </c>
      <c r="M59" t="s">
        <v>443</v>
      </c>
      <c r="N59" t="s">
        <v>1016</v>
      </c>
      <c r="O59">
        <v>1</v>
      </c>
      <c r="P59" t="s">
        <v>245</v>
      </c>
      <c r="Q59">
        <v>0</v>
      </c>
      <c r="R59">
        <v>20</v>
      </c>
      <c r="S59">
        <v>20</v>
      </c>
      <c r="T59">
        <v>10</v>
      </c>
      <c r="U59">
        <v>0</v>
      </c>
      <c r="V59" t="s">
        <v>45</v>
      </c>
      <c r="W59" t="s">
        <v>45</v>
      </c>
      <c r="X59" t="s">
        <v>45</v>
      </c>
      <c r="Y59">
        <v>50</v>
      </c>
      <c r="Z59" t="s">
        <v>14</v>
      </c>
      <c r="AA59" t="s">
        <v>246</v>
      </c>
    </row>
    <row r="60" spans="1:27">
      <c r="E60">
        <v>5850308009</v>
      </c>
      <c r="F60" t="s">
        <v>10</v>
      </c>
      <c r="G60" t="s">
        <v>50</v>
      </c>
      <c r="H60" t="s">
        <v>50</v>
      </c>
      <c r="I60" t="s">
        <v>51</v>
      </c>
      <c r="J60" t="s">
        <v>1017</v>
      </c>
      <c r="P60" t="s">
        <v>1018</v>
      </c>
      <c r="Q60">
        <v>0</v>
      </c>
      <c r="R60">
        <v>20</v>
      </c>
      <c r="S60">
        <v>20</v>
      </c>
      <c r="T60">
        <v>0</v>
      </c>
      <c r="U60">
        <v>10</v>
      </c>
      <c r="V60" t="s">
        <v>45</v>
      </c>
      <c r="W60" t="s">
        <v>45</v>
      </c>
      <c r="X60" t="s">
        <v>45</v>
      </c>
      <c r="Y60">
        <v>50</v>
      </c>
      <c r="Z60" t="s">
        <v>14</v>
      </c>
      <c r="AA60" t="s">
        <v>517</v>
      </c>
    </row>
    <row r="61" spans="1:27">
      <c r="E61">
        <v>7900535058</v>
      </c>
      <c r="F61" t="s">
        <v>11</v>
      </c>
      <c r="G61" t="s">
        <v>248</v>
      </c>
      <c r="H61" t="s">
        <v>57</v>
      </c>
      <c r="I61" t="s">
        <v>51</v>
      </c>
      <c r="J61" t="s">
        <v>247</v>
      </c>
      <c r="K61" t="s">
        <v>451</v>
      </c>
      <c r="N61" t="s">
        <v>460</v>
      </c>
      <c r="O61">
        <v>1</v>
      </c>
      <c r="P61" t="s">
        <v>250</v>
      </c>
      <c r="Q61">
        <v>5</v>
      </c>
      <c r="R61">
        <v>10</v>
      </c>
      <c r="S61">
        <v>5</v>
      </c>
      <c r="T61">
        <v>0</v>
      </c>
      <c r="U61">
        <v>15</v>
      </c>
      <c r="V61">
        <v>10</v>
      </c>
      <c r="W61">
        <v>0</v>
      </c>
      <c r="X61">
        <v>0</v>
      </c>
      <c r="Y61">
        <v>45</v>
      </c>
      <c r="Z61" t="s">
        <v>14</v>
      </c>
      <c r="AA61" t="s">
        <v>251</v>
      </c>
    </row>
    <row r="62" spans="1:27">
      <c r="E62">
        <v>7927713200</v>
      </c>
      <c r="F62" t="s">
        <v>11</v>
      </c>
      <c r="G62" t="s">
        <v>327</v>
      </c>
      <c r="H62" t="s">
        <v>177</v>
      </c>
      <c r="I62" t="s">
        <v>76</v>
      </c>
      <c r="J62" t="s">
        <v>437</v>
      </c>
      <c r="K62" t="s">
        <v>484</v>
      </c>
      <c r="N62" t="s">
        <v>480</v>
      </c>
      <c r="P62" t="s">
        <v>439</v>
      </c>
      <c r="Q62">
        <v>5</v>
      </c>
      <c r="R62">
        <v>5</v>
      </c>
      <c r="S62">
        <v>5</v>
      </c>
      <c r="T62">
        <v>0</v>
      </c>
      <c r="U62">
        <v>15</v>
      </c>
      <c r="V62">
        <v>10</v>
      </c>
      <c r="W62">
        <v>0</v>
      </c>
      <c r="X62">
        <v>0</v>
      </c>
      <c r="Y62">
        <v>40</v>
      </c>
      <c r="Z62" t="s">
        <v>14</v>
      </c>
      <c r="AA62" t="s">
        <v>518</v>
      </c>
    </row>
    <row r="63" spans="1:27">
      <c r="E63">
        <v>7937102148</v>
      </c>
      <c r="F63" t="s">
        <v>11</v>
      </c>
      <c r="G63" t="s">
        <v>262</v>
      </c>
      <c r="H63" t="s">
        <v>177</v>
      </c>
      <c r="I63" t="s">
        <v>76</v>
      </c>
      <c r="J63" t="s">
        <v>261</v>
      </c>
      <c r="K63" t="s">
        <v>1019</v>
      </c>
      <c r="N63" t="s">
        <v>480</v>
      </c>
      <c r="P63" t="s">
        <v>264</v>
      </c>
      <c r="Q63">
        <v>5</v>
      </c>
      <c r="R63">
        <v>5</v>
      </c>
      <c r="S63">
        <v>5</v>
      </c>
      <c r="T63">
        <v>0</v>
      </c>
      <c r="U63">
        <v>15</v>
      </c>
      <c r="V63">
        <v>10</v>
      </c>
      <c r="W63">
        <v>0</v>
      </c>
      <c r="X63">
        <v>0</v>
      </c>
      <c r="Y63">
        <v>40</v>
      </c>
      <c r="Z63" t="s">
        <v>14</v>
      </c>
      <c r="AA63" t="s">
        <v>265</v>
      </c>
    </row>
    <row r="64" spans="1:27">
      <c r="E64">
        <v>7944559149</v>
      </c>
      <c r="F64" t="s">
        <v>11</v>
      </c>
      <c r="G64" t="s">
        <v>257</v>
      </c>
      <c r="H64" t="s">
        <v>210</v>
      </c>
      <c r="I64" t="s">
        <v>42</v>
      </c>
      <c r="J64" t="s">
        <v>256</v>
      </c>
      <c r="K64" t="s">
        <v>1020</v>
      </c>
      <c r="P64" t="s">
        <v>1021</v>
      </c>
      <c r="Q64">
        <v>5</v>
      </c>
      <c r="R64">
        <v>10</v>
      </c>
      <c r="S64">
        <v>0</v>
      </c>
      <c r="T64">
        <v>0</v>
      </c>
      <c r="U64">
        <v>15</v>
      </c>
      <c r="V64">
        <v>10</v>
      </c>
      <c r="W64">
        <v>0</v>
      </c>
      <c r="X64">
        <v>0</v>
      </c>
      <c r="Y64">
        <v>40</v>
      </c>
      <c r="Z64" t="s">
        <v>14</v>
      </c>
      <c r="AA64" t="s">
        <v>260</v>
      </c>
    </row>
    <row r="65" spans="1:27">
      <c r="E65">
        <v>5800961074</v>
      </c>
      <c r="F65" t="s">
        <v>10</v>
      </c>
      <c r="G65" t="s">
        <v>75</v>
      </c>
      <c r="H65" t="s">
        <v>75</v>
      </c>
      <c r="I65" t="s">
        <v>76</v>
      </c>
      <c r="J65" t="s">
        <v>252</v>
      </c>
      <c r="K65" t="s">
        <v>1022</v>
      </c>
      <c r="N65" t="s">
        <v>1023</v>
      </c>
      <c r="P65" t="s">
        <v>254</v>
      </c>
      <c r="Q65">
        <v>20</v>
      </c>
      <c r="R65">
        <v>0</v>
      </c>
      <c r="S65">
        <v>0</v>
      </c>
      <c r="T65">
        <v>20</v>
      </c>
      <c r="U65">
        <v>0</v>
      </c>
      <c r="V65" t="s">
        <v>45</v>
      </c>
      <c r="W65" t="s">
        <v>45</v>
      </c>
      <c r="X65" t="s">
        <v>45</v>
      </c>
      <c r="Y65">
        <v>40</v>
      </c>
      <c r="Z65" t="s">
        <v>14</v>
      </c>
      <c r="AA65" t="s">
        <v>255</v>
      </c>
    </row>
    <row r="66" spans="1:27">
      <c r="A66" t="s">
        <v>966</v>
      </c>
      <c r="B66" t="s">
        <v>1024</v>
      </c>
      <c r="E66">
        <v>7908249152</v>
      </c>
      <c r="F66" t="s">
        <v>11</v>
      </c>
      <c r="G66" t="s">
        <v>291</v>
      </c>
      <c r="H66" t="s">
        <v>41</v>
      </c>
      <c r="I66" t="s">
        <v>42</v>
      </c>
      <c r="J66" t="s">
        <v>290</v>
      </c>
      <c r="K66" t="s">
        <v>1020</v>
      </c>
      <c r="N66" t="s">
        <v>544</v>
      </c>
      <c r="P66" t="s">
        <v>1025</v>
      </c>
      <c r="Q66">
        <v>5</v>
      </c>
      <c r="R66">
        <v>5</v>
      </c>
      <c r="S66">
        <v>0</v>
      </c>
      <c r="T66">
        <v>0</v>
      </c>
      <c r="U66">
        <v>15</v>
      </c>
      <c r="V66">
        <v>10</v>
      </c>
      <c r="W66">
        <v>0</v>
      </c>
      <c r="X66">
        <v>0</v>
      </c>
      <c r="Y66">
        <v>35</v>
      </c>
      <c r="Z66" t="s">
        <v>14</v>
      </c>
      <c r="AA66" t="s">
        <v>293</v>
      </c>
    </row>
    <row r="67" spans="1:27">
      <c r="E67">
        <v>7922995039</v>
      </c>
      <c r="F67" t="s">
        <v>11</v>
      </c>
      <c r="G67" t="s">
        <v>267</v>
      </c>
      <c r="H67" t="s">
        <v>132</v>
      </c>
      <c r="I67" t="s">
        <v>51</v>
      </c>
      <c r="J67" t="s">
        <v>266</v>
      </c>
      <c r="K67" t="s">
        <v>1026</v>
      </c>
      <c r="M67" t="s">
        <v>522</v>
      </c>
      <c r="N67" t="s">
        <v>453</v>
      </c>
      <c r="P67" t="s">
        <v>269</v>
      </c>
      <c r="Q67">
        <v>5</v>
      </c>
      <c r="R67">
        <v>5</v>
      </c>
      <c r="S67">
        <v>0</v>
      </c>
      <c r="T67">
        <v>0</v>
      </c>
      <c r="U67">
        <v>15</v>
      </c>
      <c r="V67">
        <v>10</v>
      </c>
      <c r="W67">
        <v>0</v>
      </c>
      <c r="X67">
        <v>0</v>
      </c>
      <c r="Y67">
        <v>35</v>
      </c>
      <c r="Z67" t="s">
        <v>14</v>
      </c>
      <c r="AA67" t="s">
        <v>270</v>
      </c>
    </row>
    <row r="68" spans="1:27">
      <c r="E68">
        <v>7925733015</v>
      </c>
      <c r="F68" t="s">
        <v>11</v>
      </c>
      <c r="G68" t="s">
        <v>283</v>
      </c>
      <c r="H68" t="s">
        <v>50</v>
      </c>
      <c r="I68" t="s">
        <v>51</v>
      </c>
      <c r="J68" t="s">
        <v>282</v>
      </c>
      <c r="K68" t="s">
        <v>451</v>
      </c>
      <c r="P68" t="s">
        <v>285</v>
      </c>
      <c r="Q68">
        <v>5</v>
      </c>
      <c r="R68">
        <v>5</v>
      </c>
      <c r="S68">
        <v>0</v>
      </c>
      <c r="T68">
        <v>0</v>
      </c>
      <c r="U68">
        <v>15</v>
      </c>
      <c r="V68">
        <v>10</v>
      </c>
      <c r="W68">
        <v>0</v>
      </c>
      <c r="X68">
        <v>0</v>
      </c>
      <c r="Y68">
        <v>35</v>
      </c>
      <c r="Z68" t="s">
        <v>14</v>
      </c>
      <c r="AA68" t="s">
        <v>286</v>
      </c>
    </row>
    <row r="69" spans="1:27">
      <c r="E69">
        <v>7927396052</v>
      </c>
      <c r="F69" t="s">
        <v>11</v>
      </c>
      <c r="G69" t="s">
        <v>192</v>
      </c>
      <c r="H69" t="s">
        <v>192</v>
      </c>
      <c r="I69" t="s">
        <v>76</v>
      </c>
      <c r="J69" t="s">
        <v>278</v>
      </c>
      <c r="K69" t="s">
        <v>451</v>
      </c>
      <c r="N69" t="s">
        <v>480</v>
      </c>
      <c r="P69" t="s">
        <v>280</v>
      </c>
      <c r="Q69">
        <v>5</v>
      </c>
      <c r="R69">
        <v>5</v>
      </c>
      <c r="S69">
        <v>0</v>
      </c>
      <c r="T69">
        <v>0</v>
      </c>
      <c r="U69">
        <v>15</v>
      </c>
      <c r="V69">
        <v>10</v>
      </c>
      <c r="W69">
        <v>0</v>
      </c>
      <c r="X69">
        <v>0</v>
      </c>
      <c r="Y69">
        <v>35</v>
      </c>
      <c r="Z69" t="s">
        <v>14</v>
      </c>
      <c r="AA69" t="s">
        <v>281</v>
      </c>
    </row>
    <row r="70" spans="1:27">
      <c r="E70">
        <v>7933585074</v>
      </c>
      <c r="F70" t="s">
        <v>11</v>
      </c>
      <c r="G70" t="s">
        <v>75</v>
      </c>
      <c r="H70" t="s">
        <v>75</v>
      </c>
      <c r="I70" t="s">
        <v>76</v>
      </c>
      <c r="J70" t="s">
        <v>271</v>
      </c>
      <c r="K70" t="s">
        <v>1020</v>
      </c>
      <c r="N70" t="s">
        <v>480</v>
      </c>
      <c r="P70" t="s">
        <v>523</v>
      </c>
      <c r="Q70">
        <v>5</v>
      </c>
      <c r="R70">
        <v>5</v>
      </c>
      <c r="S70">
        <v>15</v>
      </c>
      <c r="T70">
        <v>0</v>
      </c>
      <c r="U70">
        <v>0</v>
      </c>
      <c r="V70">
        <v>0</v>
      </c>
      <c r="W70">
        <v>10</v>
      </c>
      <c r="X70">
        <v>0</v>
      </c>
      <c r="Y70">
        <v>35</v>
      </c>
      <c r="Z70" t="s">
        <v>14</v>
      </c>
      <c r="AA70" t="s">
        <v>273</v>
      </c>
    </row>
    <row r="71" spans="1:27">
      <c r="E71">
        <v>7942572059</v>
      </c>
      <c r="F71" t="s">
        <v>11</v>
      </c>
      <c r="G71" t="s">
        <v>62</v>
      </c>
      <c r="H71" t="s">
        <v>62</v>
      </c>
      <c r="I71" t="s">
        <v>42</v>
      </c>
      <c r="J71" t="s">
        <v>1027</v>
      </c>
      <c r="K71" t="s">
        <v>497</v>
      </c>
      <c r="M71" t="s">
        <v>522</v>
      </c>
      <c r="P71" t="s">
        <v>1028</v>
      </c>
      <c r="Q71">
        <v>5</v>
      </c>
      <c r="R71">
        <v>5</v>
      </c>
      <c r="S71">
        <v>15</v>
      </c>
      <c r="T71">
        <v>0</v>
      </c>
      <c r="U71">
        <v>0</v>
      </c>
      <c r="V71">
        <v>0</v>
      </c>
      <c r="W71">
        <v>10</v>
      </c>
      <c r="X71">
        <v>0</v>
      </c>
      <c r="Y71">
        <v>35</v>
      </c>
      <c r="Z71" t="s">
        <v>14</v>
      </c>
      <c r="AA71" t="s">
        <v>297</v>
      </c>
    </row>
    <row r="72" spans="1:27">
      <c r="E72">
        <v>7944319149</v>
      </c>
      <c r="F72" t="s">
        <v>11</v>
      </c>
      <c r="G72" t="s">
        <v>257</v>
      </c>
      <c r="H72" t="s">
        <v>210</v>
      </c>
      <c r="I72" t="s">
        <v>42</v>
      </c>
      <c r="J72" t="s">
        <v>437</v>
      </c>
      <c r="M72" t="s">
        <v>438</v>
      </c>
      <c r="N72" t="s">
        <v>480</v>
      </c>
      <c r="P72" t="s">
        <v>439</v>
      </c>
      <c r="Q72">
        <v>5</v>
      </c>
      <c r="R72">
        <v>5</v>
      </c>
      <c r="S72">
        <v>15</v>
      </c>
      <c r="T72">
        <v>0</v>
      </c>
      <c r="U72">
        <v>0</v>
      </c>
      <c r="V72">
        <v>0</v>
      </c>
      <c r="W72">
        <v>10</v>
      </c>
      <c r="X72">
        <v>0</v>
      </c>
      <c r="Y72">
        <v>35</v>
      </c>
      <c r="Z72" t="s">
        <v>14</v>
      </c>
      <c r="AA72" t="s">
        <v>524</v>
      </c>
    </row>
    <row r="73" spans="1:27">
      <c r="E73">
        <v>7955986084</v>
      </c>
      <c r="F73" t="s">
        <v>11</v>
      </c>
      <c r="G73" t="s">
        <v>210</v>
      </c>
      <c r="H73" t="s">
        <v>210</v>
      </c>
      <c r="I73" t="s">
        <v>42</v>
      </c>
      <c r="J73" t="s">
        <v>437</v>
      </c>
      <c r="K73" t="s">
        <v>1029</v>
      </c>
      <c r="P73" t="s">
        <v>439</v>
      </c>
      <c r="Q73">
        <v>5</v>
      </c>
      <c r="R73">
        <v>5</v>
      </c>
      <c r="S73">
        <v>0</v>
      </c>
      <c r="T73">
        <v>0</v>
      </c>
      <c r="U73">
        <v>15</v>
      </c>
      <c r="V73">
        <v>10</v>
      </c>
      <c r="W73">
        <v>0</v>
      </c>
      <c r="X73">
        <v>0</v>
      </c>
      <c r="Y73">
        <v>35</v>
      </c>
      <c r="Z73" t="s">
        <v>14</v>
      </c>
      <c r="AA73" t="s">
        <v>277</v>
      </c>
    </row>
    <row r="74" spans="1:27">
      <c r="E74">
        <v>7967181127</v>
      </c>
      <c r="F74" t="s">
        <v>11</v>
      </c>
      <c r="G74" t="s">
        <v>222</v>
      </c>
      <c r="H74" t="s">
        <v>223</v>
      </c>
      <c r="I74" t="s">
        <v>51</v>
      </c>
      <c r="J74" t="s">
        <v>437</v>
      </c>
      <c r="K74" t="s">
        <v>525</v>
      </c>
      <c r="P74" t="s">
        <v>439</v>
      </c>
      <c r="Q74">
        <v>5</v>
      </c>
      <c r="R74">
        <v>5</v>
      </c>
      <c r="S74">
        <v>0</v>
      </c>
      <c r="T74">
        <v>0</v>
      </c>
      <c r="U74">
        <v>15</v>
      </c>
      <c r="V74">
        <v>10</v>
      </c>
      <c r="W74">
        <v>0</v>
      </c>
      <c r="X74">
        <v>0</v>
      </c>
      <c r="Y74">
        <v>35</v>
      </c>
      <c r="Z74" t="s">
        <v>14</v>
      </c>
      <c r="AA74" t="s">
        <v>527</v>
      </c>
    </row>
    <row r="75" spans="1:27">
      <c r="E75">
        <v>7900525015</v>
      </c>
      <c r="F75" t="s">
        <v>11</v>
      </c>
      <c r="G75" t="s">
        <v>283</v>
      </c>
      <c r="H75" t="s">
        <v>50</v>
      </c>
      <c r="I75" t="s">
        <v>51</v>
      </c>
      <c r="J75" t="s">
        <v>287</v>
      </c>
      <c r="K75" t="s">
        <v>1030</v>
      </c>
      <c r="P75" t="s">
        <v>288</v>
      </c>
      <c r="Q75">
        <v>5</v>
      </c>
      <c r="R75">
        <v>5</v>
      </c>
      <c r="S75">
        <v>0</v>
      </c>
      <c r="T75">
        <v>0</v>
      </c>
      <c r="U75">
        <v>15</v>
      </c>
      <c r="V75">
        <v>10</v>
      </c>
      <c r="W75">
        <v>0</v>
      </c>
      <c r="X75">
        <v>0</v>
      </c>
      <c r="Y75">
        <v>35</v>
      </c>
      <c r="Z75" t="s">
        <v>14</v>
      </c>
      <c r="AA75" t="s">
        <v>289</v>
      </c>
    </row>
    <row r="76" spans="1:27">
      <c r="E76">
        <v>7928564039</v>
      </c>
      <c r="F76" t="s">
        <v>11</v>
      </c>
      <c r="G76" t="s">
        <v>267</v>
      </c>
      <c r="H76" t="s">
        <v>132</v>
      </c>
      <c r="I76" t="s">
        <v>51</v>
      </c>
      <c r="J76" t="s">
        <v>298</v>
      </c>
      <c r="K76" t="s">
        <v>1031</v>
      </c>
      <c r="N76" t="s">
        <v>1032</v>
      </c>
      <c r="P76" t="s">
        <v>1033</v>
      </c>
      <c r="Q76">
        <v>5</v>
      </c>
      <c r="R76">
        <v>10</v>
      </c>
      <c r="S76">
        <v>5</v>
      </c>
      <c r="T76">
        <v>0</v>
      </c>
      <c r="U76">
        <v>0</v>
      </c>
      <c r="V76">
        <v>10</v>
      </c>
      <c r="W76">
        <v>0</v>
      </c>
      <c r="X76">
        <v>0</v>
      </c>
      <c r="Y76">
        <v>30</v>
      </c>
      <c r="Z76" t="s">
        <v>14</v>
      </c>
      <c r="AA76" t="s">
        <v>300</v>
      </c>
    </row>
    <row r="77" spans="1:27" s="36" customFormat="1">
      <c r="A77" s="36" t="s">
        <v>973</v>
      </c>
      <c r="B77" s="36" t="s">
        <v>1034</v>
      </c>
      <c r="C77" s="37" t="s">
        <v>1035</v>
      </c>
      <c r="D77" t="e" cm="1">
        <f t="array" ref="D77">_xlfn.XLOOKUP(_xlfn.NUMBERVALUE(E77),_xlfn.NUMBERVALUE([1]Planilha1!$C$2:$C$34),[1]Planilha1!$T$3:$T$34)</f>
        <v>#VALUE!</v>
      </c>
      <c r="E77" s="36">
        <v>7957126085</v>
      </c>
      <c r="F77" s="36" t="s">
        <v>11</v>
      </c>
      <c r="G77" s="36" t="s">
        <v>528</v>
      </c>
      <c r="H77" s="36" t="s">
        <v>97</v>
      </c>
      <c r="I77" s="36" t="s">
        <v>42</v>
      </c>
      <c r="J77" s="36" t="s">
        <v>1036</v>
      </c>
      <c r="K77" s="35" t="s">
        <v>1037</v>
      </c>
      <c r="M77" s="36" t="s">
        <v>443</v>
      </c>
      <c r="N77" s="36" t="s">
        <v>1038</v>
      </c>
      <c r="P77" s="36" t="s">
        <v>1039</v>
      </c>
      <c r="Q77" s="36">
        <v>5</v>
      </c>
      <c r="R77" s="36">
        <v>10</v>
      </c>
      <c r="S77" s="36">
        <v>5</v>
      </c>
      <c r="T77" s="36">
        <v>0</v>
      </c>
      <c r="U77" s="36">
        <v>0</v>
      </c>
      <c r="V77" s="36">
        <v>10</v>
      </c>
      <c r="W77" s="36">
        <v>0</v>
      </c>
      <c r="X77" s="36">
        <v>0</v>
      </c>
      <c r="Y77" s="36">
        <v>30</v>
      </c>
      <c r="Z77" s="36" t="s">
        <v>14</v>
      </c>
      <c r="AA77" s="36" t="s">
        <v>529</v>
      </c>
    </row>
    <row r="78" spans="1:27">
      <c r="E78">
        <v>5841308190</v>
      </c>
      <c r="F78" t="s">
        <v>10</v>
      </c>
      <c r="G78" t="s">
        <v>530</v>
      </c>
      <c r="H78" t="s">
        <v>75</v>
      </c>
      <c r="I78" t="s">
        <v>76</v>
      </c>
      <c r="J78" t="s">
        <v>437</v>
      </c>
      <c r="M78" t="s">
        <v>531</v>
      </c>
      <c r="N78" t="s">
        <v>45</v>
      </c>
      <c r="P78" t="s">
        <v>439</v>
      </c>
      <c r="Q78">
        <v>0</v>
      </c>
      <c r="R78">
        <v>20</v>
      </c>
      <c r="S78">
        <v>0</v>
      </c>
      <c r="T78">
        <v>10</v>
      </c>
      <c r="U78">
        <v>0</v>
      </c>
      <c r="V78" t="s">
        <v>45</v>
      </c>
      <c r="W78" t="s">
        <v>45</v>
      </c>
      <c r="X78" t="s">
        <v>45</v>
      </c>
      <c r="Y78">
        <v>30</v>
      </c>
      <c r="Z78" t="s">
        <v>15</v>
      </c>
      <c r="AA78" t="s">
        <v>532</v>
      </c>
    </row>
    <row r="79" spans="1:27">
      <c r="E79">
        <v>5844630060</v>
      </c>
      <c r="F79" t="s">
        <v>10</v>
      </c>
      <c r="G79" t="s">
        <v>533</v>
      </c>
      <c r="H79" t="s">
        <v>154</v>
      </c>
      <c r="I79" t="s">
        <v>51</v>
      </c>
      <c r="J79" t="s">
        <v>918</v>
      </c>
      <c r="K79" t="s">
        <v>467</v>
      </c>
      <c r="N79" t="s">
        <v>1040</v>
      </c>
      <c r="P79" t="s">
        <v>1041</v>
      </c>
      <c r="Q79">
        <v>20</v>
      </c>
      <c r="R79">
        <v>0</v>
      </c>
      <c r="S79">
        <v>0</v>
      </c>
      <c r="T79">
        <v>10</v>
      </c>
      <c r="U79">
        <v>0</v>
      </c>
      <c r="V79" t="s">
        <v>45</v>
      </c>
      <c r="W79" t="s">
        <v>45</v>
      </c>
      <c r="X79" t="s">
        <v>45</v>
      </c>
      <c r="Y79">
        <v>30</v>
      </c>
      <c r="Z79" t="s">
        <v>15</v>
      </c>
      <c r="AA79" t="s">
        <v>535</v>
      </c>
    </row>
    <row r="80" spans="1:27">
      <c r="E80">
        <v>5855411017</v>
      </c>
      <c r="F80" t="s">
        <v>10</v>
      </c>
      <c r="G80" t="s">
        <v>302</v>
      </c>
      <c r="H80" t="s">
        <v>186</v>
      </c>
      <c r="I80" t="s">
        <v>42</v>
      </c>
      <c r="J80" t="s">
        <v>1042</v>
      </c>
      <c r="K80" t="s">
        <v>1043</v>
      </c>
      <c r="N80" t="s">
        <v>460</v>
      </c>
      <c r="P80" t="s">
        <v>538</v>
      </c>
      <c r="Q80">
        <v>0</v>
      </c>
      <c r="R80">
        <v>0</v>
      </c>
      <c r="S80">
        <v>0</v>
      </c>
      <c r="T80">
        <v>10</v>
      </c>
      <c r="U80">
        <v>20</v>
      </c>
      <c r="V80" t="s">
        <v>45</v>
      </c>
      <c r="W80" t="s">
        <v>45</v>
      </c>
      <c r="X80" t="s">
        <v>45</v>
      </c>
      <c r="Y80">
        <v>30</v>
      </c>
      <c r="Z80" t="s">
        <v>15</v>
      </c>
      <c r="AA80" t="s">
        <v>305</v>
      </c>
    </row>
    <row r="81" spans="1:27">
      <c r="A81" t="s">
        <v>966</v>
      </c>
      <c r="B81" t="s">
        <v>571</v>
      </c>
      <c r="E81">
        <v>7900505026</v>
      </c>
      <c r="F81" t="s">
        <v>11</v>
      </c>
      <c r="G81" t="s">
        <v>108</v>
      </c>
      <c r="H81" t="s">
        <v>108</v>
      </c>
      <c r="I81" t="s">
        <v>42</v>
      </c>
      <c r="J81" t="s">
        <v>437</v>
      </c>
      <c r="K81" t="s">
        <v>1044</v>
      </c>
      <c r="N81" t="s">
        <v>453</v>
      </c>
      <c r="P81" t="s">
        <v>439</v>
      </c>
      <c r="Q81">
        <v>5</v>
      </c>
      <c r="R81">
        <v>5</v>
      </c>
      <c r="S81">
        <v>5</v>
      </c>
      <c r="T81">
        <v>0</v>
      </c>
      <c r="U81">
        <v>0</v>
      </c>
      <c r="V81">
        <v>0</v>
      </c>
      <c r="W81">
        <v>10</v>
      </c>
      <c r="X81">
        <v>0</v>
      </c>
      <c r="Y81">
        <v>25</v>
      </c>
      <c r="Z81" t="s">
        <v>15</v>
      </c>
      <c r="AA81" t="s">
        <v>539</v>
      </c>
    </row>
    <row r="82" spans="1:27">
      <c r="E82">
        <v>7908196047</v>
      </c>
      <c r="F82" t="s">
        <v>11</v>
      </c>
      <c r="G82" t="s">
        <v>191</v>
      </c>
      <c r="H82" t="s">
        <v>449</v>
      </c>
      <c r="I82" t="s">
        <v>76</v>
      </c>
      <c r="J82" t="s">
        <v>437</v>
      </c>
      <c r="N82" t="s">
        <v>453</v>
      </c>
      <c r="P82" t="s">
        <v>439</v>
      </c>
      <c r="Q82">
        <v>5</v>
      </c>
      <c r="R82">
        <v>5</v>
      </c>
      <c r="S82">
        <v>5</v>
      </c>
      <c r="T82">
        <v>0</v>
      </c>
      <c r="U82">
        <v>0</v>
      </c>
      <c r="V82">
        <v>0</v>
      </c>
      <c r="W82">
        <v>10</v>
      </c>
      <c r="X82">
        <v>0</v>
      </c>
      <c r="Y82">
        <v>25</v>
      </c>
      <c r="Z82" t="s">
        <v>15</v>
      </c>
      <c r="AA82" t="s">
        <v>308</v>
      </c>
    </row>
    <row r="83" spans="1:27">
      <c r="A83" t="s">
        <v>973</v>
      </c>
      <c r="B83" t="s">
        <v>1045</v>
      </c>
      <c r="D83" t="e" cm="1">
        <f t="array" ref="D83">_xlfn.XLOOKUP(_xlfn.NUMBERVALUE(E83),_xlfn.NUMBERVALUE([1]Planilha1!$C$2:$C$34),[1]Planilha1!$T$3:$T$34)</f>
        <v>#VALUE!</v>
      </c>
      <c r="E83">
        <v>7921202014</v>
      </c>
      <c r="F83" t="s">
        <v>11</v>
      </c>
      <c r="G83" t="s">
        <v>126</v>
      </c>
      <c r="H83" t="s">
        <v>97</v>
      </c>
      <c r="I83" t="s">
        <v>42</v>
      </c>
      <c r="J83" t="s">
        <v>319</v>
      </c>
      <c r="K83" t="s">
        <v>1046</v>
      </c>
      <c r="P83" t="s">
        <v>1047</v>
      </c>
      <c r="Q83">
        <v>5</v>
      </c>
      <c r="R83">
        <v>5</v>
      </c>
      <c r="S83">
        <v>5</v>
      </c>
      <c r="T83">
        <v>0</v>
      </c>
      <c r="U83">
        <v>0</v>
      </c>
      <c r="V83">
        <v>10</v>
      </c>
      <c r="W83">
        <v>0</v>
      </c>
      <c r="X83">
        <v>0</v>
      </c>
      <c r="Y83">
        <v>25</v>
      </c>
      <c r="Z83" t="s">
        <v>15</v>
      </c>
      <c r="AA83" t="s">
        <v>322</v>
      </c>
    </row>
    <row r="84" spans="1:27">
      <c r="E84">
        <v>7923927122</v>
      </c>
      <c r="F84" t="s">
        <v>11</v>
      </c>
      <c r="G84" t="s">
        <v>68</v>
      </c>
      <c r="H84" t="s">
        <v>68</v>
      </c>
      <c r="I84" t="s">
        <v>42</v>
      </c>
      <c r="J84" t="s">
        <v>1048</v>
      </c>
      <c r="K84" t="s">
        <v>1049</v>
      </c>
      <c r="N84" t="s">
        <v>1050</v>
      </c>
      <c r="P84" t="s">
        <v>1051</v>
      </c>
      <c r="Q84">
        <v>15</v>
      </c>
      <c r="R84">
        <v>0</v>
      </c>
      <c r="S84">
        <v>0</v>
      </c>
      <c r="T84">
        <v>0</v>
      </c>
      <c r="U84">
        <v>0</v>
      </c>
      <c r="V84">
        <v>10</v>
      </c>
      <c r="W84">
        <v>0</v>
      </c>
      <c r="X84">
        <v>0</v>
      </c>
      <c r="Y84">
        <v>25</v>
      </c>
      <c r="Z84" t="s">
        <v>15</v>
      </c>
      <c r="AA84" t="s">
        <v>314</v>
      </c>
    </row>
    <row r="85" spans="1:27">
      <c r="A85" t="s">
        <v>966</v>
      </c>
      <c r="B85" t="s">
        <v>1052</v>
      </c>
      <c r="E85">
        <v>7927446001</v>
      </c>
      <c r="F85" t="s">
        <v>11</v>
      </c>
      <c r="G85" t="s">
        <v>41</v>
      </c>
      <c r="H85" t="s">
        <v>41</v>
      </c>
      <c r="I85" t="s">
        <v>42</v>
      </c>
      <c r="J85" t="s">
        <v>323</v>
      </c>
      <c r="K85" t="s">
        <v>1053</v>
      </c>
      <c r="N85" t="s">
        <v>1054</v>
      </c>
      <c r="P85" t="s">
        <v>324</v>
      </c>
      <c r="Q85">
        <v>5</v>
      </c>
      <c r="R85">
        <v>5</v>
      </c>
      <c r="S85">
        <v>5</v>
      </c>
      <c r="T85">
        <v>0</v>
      </c>
      <c r="U85">
        <v>0</v>
      </c>
      <c r="V85">
        <v>10</v>
      </c>
      <c r="W85">
        <v>0</v>
      </c>
      <c r="X85">
        <v>0</v>
      </c>
      <c r="Y85">
        <v>25</v>
      </c>
      <c r="Z85" t="s">
        <v>15</v>
      </c>
      <c r="AA85" t="s">
        <v>325</v>
      </c>
    </row>
    <row r="86" spans="1:27">
      <c r="E86">
        <v>7928241200</v>
      </c>
      <c r="F86" t="s">
        <v>11</v>
      </c>
      <c r="G86" t="s">
        <v>327</v>
      </c>
      <c r="H86" t="s">
        <v>177</v>
      </c>
      <c r="I86" t="s">
        <v>76</v>
      </c>
      <c r="J86" t="s">
        <v>326</v>
      </c>
      <c r="K86" t="s">
        <v>1055</v>
      </c>
      <c r="N86" t="s">
        <v>1050</v>
      </c>
      <c r="P86" t="s">
        <v>1056</v>
      </c>
      <c r="Q86">
        <v>5</v>
      </c>
      <c r="R86">
        <v>5</v>
      </c>
      <c r="S86">
        <v>5</v>
      </c>
      <c r="T86">
        <v>0</v>
      </c>
      <c r="U86">
        <v>0</v>
      </c>
      <c r="V86">
        <v>10</v>
      </c>
      <c r="W86">
        <v>0</v>
      </c>
      <c r="X86">
        <v>0</v>
      </c>
      <c r="Y86">
        <v>25</v>
      </c>
      <c r="Z86" t="s">
        <v>15</v>
      </c>
      <c r="AA86" t="s">
        <v>330</v>
      </c>
    </row>
    <row r="87" spans="1:27">
      <c r="E87">
        <v>7942485096</v>
      </c>
      <c r="F87" t="s">
        <v>11</v>
      </c>
      <c r="G87" t="s">
        <v>316</v>
      </c>
      <c r="H87" t="s">
        <v>108</v>
      </c>
      <c r="I87" t="s">
        <v>42</v>
      </c>
      <c r="J87" t="s">
        <v>315</v>
      </c>
      <c r="K87" t="s">
        <v>451</v>
      </c>
      <c r="N87" t="s">
        <v>1057</v>
      </c>
      <c r="P87" t="s">
        <v>317</v>
      </c>
      <c r="Q87">
        <v>5</v>
      </c>
      <c r="R87">
        <v>5</v>
      </c>
      <c r="S87">
        <v>5</v>
      </c>
      <c r="T87">
        <v>0</v>
      </c>
      <c r="U87">
        <v>0</v>
      </c>
      <c r="V87">
        <v>10</v>
      </c>
      <c r="W87">
        <v>0</v>
      </c>
      <c r="X87">
        <v>0</v>
      </c>
      <c r="Y87">
        <v>25</v>
      </c>
      <c r="Z87" t="s">
        <v>15</v>
      </c>
      <c r="AA87" t="s">
        <v>318</v>
      </c>
    </row>
    <row r="88" spans="1:27">
      <c r="E88">
        <v>7955430075</v>
      </c>
      <c r="F88" t="s">
        <v>11</v>
      </c>
      <c r="G88" t="s">
        <v>540</v>
      </c>
      <c r="H88" t="s">
        <v>210</v>
      </c>
      <c r="I88" t="s">
        <v>42</v>
      </c>
      <c r="J88" t="s">
        <v>437</v>
      </c>
      <c r="K88" t="s">
        <v>1058</v>
      </c>
      <c r="M88" t="s">
        <v>522</v>
      </c>
      <c r="N88" t="s">
        <v>1050</v>
      </c>
      <c r="P88" t="s">
        <v>439</v>
      </c>
      <c r="Q88">
        <v>5</v>
      </c>
      <c r="R88">
        <v>5</v>
      </c>
      <c r="S88">
        <v>5</v>
      </c>
      <c r="T88">
        <v>0</v>
      </c>
      <c r="U88">
        <v>0</v>
      </c>
      <c r="V88">
        <v>0</v>
      </c>
      <c r="W88">
        <v>10</v>
      </c>
      <c r="X88">
        <v>0</v>
      </c>
      <c r="Y88">
        <v>25</v>
      </c>
      <c r="Z88" t="s">
        <v>15</v>
      </c>
      <c r="AA88" t="s">
        <v>541</v>
      </c>
    </row>
    <row r="89" spans="1:27">
      <c r="E89">
        <v>7955686076</v>
      </c>
      <c r="F89" t="s">
        <v>11</v>
      </c>
      <c r="G89" t="s">
        <v>335</v>
      </c>
      <c r="H89" t="s">
        <v>336</v>
      </c>
      <c r="I89" t="s">
        <v>76</v>
      </c>
      <c r="J89" t="s">
        <v>437</v>
      </c>
      <c r="M89" t="s">
        <v>438</v>
      </c>
      <c r="N89" t="s">
        <v>45</v>
      </c>
      <c r="P89" t="s">
        <v>439</v>
      </c>
      <c r="Q89">
        <v>5</v>
      </c>
      <c r="R89">
        <v>5</v>
      </c>
      <c r="S89">
        <v>0</v>
      </c>
      <c r="T89">
        <v>0</v>
      </c>
      <c r="U89">
        <v>15</v>
      </c>
      <c r="V89">
        <v>0</v>
      </c>
      <c r="W89">
        <v>0</v>
      </c>
      <c r="X89">
        <v>0</v>
      </c>
      <c r="Y89">
        <v>25</v>
      </c>
      <c r="Z89" t="s">
        <v>15</v>
      </c>
      <c r="AA89" t="s">
        <v>542</v>
      </c>
    </row>
    <row r="90" spans="1:27" s="34" customFormat="1">
      <c r="E90" s="34">
        <v>7955946007</v>
      </c>
      <c r="F90" s="34" t="s">
        <v>11</v>
      </c>
      <c r="G90" s="34" t="s">
        <v>186</v>
      </c>
      <c r="H90" s="34" t="s">
        <v>186</v>
      </c>
      <c r="I90" s="34" t="s">
        <v>42</v>
      </c>
      <c r="J90" s="34" t="s">
        <v>437</v>
      </c>
      <c r="K90" s="34" t="s">
        <v>1059</v>
      </c>
      <c r="P90" s="34" t="s">
        <v>439</v>
      </c>
      <c r="Q90" s="34">
        <v>5</v>
      </c>
      <c r="R90" s="34">
        <v>5</v>
      </c>
      <c r="S90" s="34">
        <v>5</v>
      </c>
      <c r="T90" s="34">
        <v>0</v>
      </c>
      <c r="U90" s="34">
        <v>0</v>
      </c>
      <c r="V90" s="34">
        <v>0</v>
      </c>
      <c r="W90" s="34">
        <v>10</v>
      </c>
      <c r="X90" s="34">
        <v>0</v>
      </c>
      <c r="Y90" s="34">
        <v>25</v>
      </c>
      <c r="Z90" s="34" t="s">
        <v>15</v>
      </c>
      <c r="AA90" s="34" t="s">
        <v>311</v>
      </c>
    </row>
    <row r="91" spans="1:27">
      <c r="E91">
        <v>7901110084</v>
      </c>
      <c r="F91" t="s">
        <v>11</v>
      </c>
      <c r="G91" t="s">
        <v>210</v>
      </c>
      <c r="H91" t="s">
        <v>210</v>
      </c>
      <c r="I91" t="s">
        <v>42</v>
      </c>
      <c r="J91" t="s">
        <v>331</v>
      </c>
      <c r="K91" t="s">
        <v>1060</v>
      </c>
      <c r="P91" t="s">
        <v>332</v>
      </c>
      <c r="Q91">
        <v>5</v>
      </c>
      <c r="R91">
        <v>5</v>
      </c>
      <c r="S91">
        <v>0</v>
      </c>
      <c r="T91">
        <v>0</v>
      </c>
      <c r="U91">
        <v>0</v>
      </c>
      <c r="V91">
        <v>0</v>
      </c>
      <c r="W91">
        <v>10</v>
      </c>
      <c r="X91">
        <v>0</v>
      </c>
      <c r="Y91">
        <v>20</v>
      </c>
      <c r="Z91" t="s">
        <v>15</v>
      </c>
      <c r="AA91" t="s">
        <v>333</v>
      </c>
    </row>
    <row r="92" spans="1:27">
      <c r="E92">
        <v>7908206074</v>
      </c>
      <c r="F92" t="s">
        <v>11</v>
      </c>
      <c r="G92" t="s">
        <v>75</v>
      </c>
      <c r="H92" t="s">
        <v>75</v>
      </c>
      <c r="I92" t="s">
        <v>76</v>
      </c>
      <c r="J92" t="s">
        <v>437</v>
      </c>
      <c r="K92" t="s">
        <v>1061</v>
      </c>
      <c r="M92" t="s">
        <v>522</v>
      </c>
      <c r="N92" t="s">
        <v>480</v>
      </c>
      <c r="P92" t="s">
        <v>439</v>
      </c>
      <c r="Q92">
        <v>5</v>
      </c>
      <c r="R92">
        <v>5</v>
      </c>
      <c r="S92">
        <v>0</v>
      </c>
      <c r="T92">
        <v>0</v>
      </c>
      <c r="U92">
        <v>0</v>
      </c>
      <c r="V92">
        <v>0</v>
      </c>
      <c r="W92">
        <v>10</v>
      </c>
      <c r="X92">
        <v>0</v>
      </c>
      <c r="Y92">
        <v>20</v>
      </c>
      <c r="Z92" t="s">
        <v>15</v>
      </c>
      <c r="AA92" t="s">
        <v>543</v>
      </c>
    </row>
    <row r="93" spans="1:27">
      <c r="E93">
        <v>7908708116</v>
      </c>
      <c r="F93" t="s">
        <v>11</v>
      </c>
      <c r="G93" t="s">
        <v>200</v>
      </c>
      <c r="H93" t="s">
        <v>75</v>
      </c>
      <c r="I93" t="s">
        <v>76</v>
      </c>
      <c r="J93" t="s">
        <v>437</v>
      </c>
      <c r="K93" t="s">
        <v>484</v>
      </c>
      <c r="N93" t="s">
        <v>544</v>
      </c>
      <c r="P93" t="s">
        <v>439</v>
      </c>
      <c r="Q93">
        <v>5</v>
      </c>
      <c r="R93">
        <v>5</v>
      </c>
      <c r="S93">
        <v>0</v>
      </c>
      <c r="T93">
        <v>0</v>
      </c>
      <c r="U93">
        <v>0</v>
      </c>
      <c r="V93">
        <v>0</v>
      </c>
      <c r="W93">
        <v>10</v>
      </c>
      <c r="X93">
        <v>0</v>
      </c>
      <c r="Y93">
        <v>20</v>
      </c>
      <c r="Z93" t="s">
        <v>15</v>
      </c>
      <c r="AA93" t="s">
        <v>545</v>
      </c>
    </row>
    <row r="94" spans="1:27">
      <c r="E94">
        <v>7910027196</v>
      </c>
      <c r="F94" t="s">
        <v>11</v>
      </c>
      <c r="G94" t="s">
        <v>546</v>
      </c>
      <c r="H94" t="s">
        <v>62</v>
      </c>
      <c r="I94" t="s">
        <v>42</v>
      </c>
      <c r="J94" t="s">
        <v>437</v>
      </c>
      <c r="K94" t="s">
        <v>547</v>
      </c>
      <c r="N94" t="s">
        <v>548</v>
      </c>
      <c r="P94" t="s">
        <v>439</v>
      </c>
      <c r="Q94">
        <v>5</v>
      </c>
      <c r="R94">
        <v>5</v>
      </c>
      <c r="S94">
        <v>0</v>
      </c>
      <c r="T94">
        <v>0</v>
      </c>
      <c r="U94">
        <v>0</v>
      </c>
      <c r="V94">
        <v>0</v>
      </c>
      <c r="W94">
        <v>10</v>
      </c>
      <c r="X94">
        <v>0</v>
      </c>
      <c r="Y94">
        <v>20</v>
      </c>
      <c r="Z94" t="s">
        <v>15</v>
      </c>
      <c r="AA94" t="s">
        <v>549</v>
      </c>
    </row>
    <row r="95" spans="1:27">
      <c r="E95">
        <v>7913662076</v>
      </c>
      <c r="F95" t="s">
        <v>11</v>
      </c>
      <c r="G95" t="s">
        <v>335</v>
      </c>
      <c r="H95" t="s">
        <v>336</v>
      </c>
      <c r="I95" t="s">
        <v>76</v>
      </c>
      <c r="J95" t="s">
        <v>334</v>
      </c>
      <c r="K95" t="s">
        <v>550</v>
      </c>
      <c r="P95" t="s">
        <v>338</v>
      </c>
      <c r="Q95">
        <v>5</v>
      </c>
      <c r="R95">
        <v>5</v>
      </c>
      <c r="S95">
        <v>0</v>
      </c>
      <c r="T95">
        <v>0</v>
      </c>
      <c r="U95">
        <v>0</v>
      </c>
      <c r="V95">
        <v>10</v>
      </c>
      <c r="W95">
        <v>0</v>
      </c>
      <c r="X95">
        <v>0</v>
      </c>
      <c r="Y95">
        <v>20</v>
      </c>
      <c r="Z95" t="s">
        <v>15</v>
      </c>
      <c r="AA95" t="s">
        <v>339</v>
      </c>
    </row>
    <row r="96" spans="1:27">
      <c r="E96">
        <v>5862236091</v>
      </c>
      <c r="F96" t="s">
        <v>10</v>
      </c>
      <c r="G96" t="s">
        <v>74</v>
      </c>
      <c r="H96" t="s">
        <v>75</v>
      </c>
      <c r="I96" t="s">
        <v>76</v>
      </c>
      <c r="J96" t="s">
        <v>882</v>
      </c>
      <c r="K96" t="s">
        <v>1062</v>
      </c>
      <c r="L96" t="s">
        <v>1063</v>
      </c>
      <c r="N96" t="s">
        <v>1040</v>
      </c>
      <c r="P96" t="s">
        <v>551</v>
      </c>
      <c r="Q96">
        <v>0</v>
      </c>
      <c r="R96">
        <v>0</v>
      </c>
      <c r="S96">
        <v>0</v>
      </c>
      <c r="T96">
        <v>20</v>
      </c>
      <c r="U96">
        <v>0</v>
      </c>
      <c r="V96" t="s">
        <v>45</v>
      </c>
      <c r="W96" t="s">
        <v>45</v>
      </c>
      <c r="X96" t="s">
        <v>45</v>
      </c>
      <c r="Y96">
        <v>20</v>
      </c>
      <c r="Z96" t="s">
        <v>15</v>
      </c>
      <c r="AA96" t="s">
        <v>343</v>
      </c>
    </row>
    <row r="97" spans="1:27">
      <c r="E97">
        <v>5836786094</v>
      </c>
      <c r="F97" t="s">
        <v>10</v>
      </c>
      <c r="G97" t="s">
        <v>177</v>
      </c>
      <c r="H97" t="s">
        <v>177</v>
      </c>
      <c r="I97" t="s">
        <v>76</v>
      </c>
      <c r="J97" t="s">
        <v>344</v>
      </c>
      <c r="K97" t="s">
        <v>1064</v>
      </c>
      <c r="P97" t="s">
        <v>1065</v>
      </c>
      <c r="Q97">
        <v>0</v>
      </c>
      <c r="R97">
        <v>0</v>
      </c>
      <c r="S97">
        <v>0</v>
      </c>
      <c r="T97">
        <v>10</v>
      </c>
      <c r="U97">
        <v>10</v>
      </c>
      <c r="V97" t="s">
        <v>45</v>
      </c>
      <c r="W97" t="s">
        <v>45</v>
      </c>
      <c r="X97" t="s">
        <v>45</v>
      </c>
      <c r="Y97">
        <v>20</v>
      </c>
      <c r="Z97" t="s">
        <v>15</v>
      </c>
      <c r="AA97" t="s">
        <v>346</v>
      </c>
    </row>
    <row r="98" spans="1:27">
      <c r="A98" t="s">
        <v>973</v>
      </c>
      <c r="D98" t="e" cm="1">
        <f t="array" ref="D98">_xlfn.XLOOKUP(_xlfn.NUMBERVALUE(E98),_xlfn.NUMBERVALUE([1]Planilha1!$C$2:$C$34),[1]Planilha1!$T$3:$T$34)</f>
        <v>#VALUE!</v>
      </c>
      <c r="E98">
        <v>7919270014</v>
      </c>
      <c r="F98" t="s">
        <v>11</v>
      </c>
      <c r="G98" t="s">
        <v>126</v>
      </c>
      <c r="H98" t="s">
        <v>97</v>
      </c>
      <c r="I98" t="s">
        <v>42</v>
      </c>
      <c r="J98" t="s">
        <v>1066</v>
      </c>
      <c r="K98" t="s">
        <v>550</v>
      </c>
      <c r="P98" t="s">
        <v>1067</v>
      </c>
      <c r="Q98">
        <v>5</v>
      </c>
      <c r="R98">
        <v>5</v>
      </c>
      <c r="S98">
        <v>0</v>
      </c>
      <c r="T98">
        <v>0</v>
      </c>
      <c r="U98">
        <v>0</v>
      </c>
      <c r="V98">
        <v>10</v>
      </c>
      <c r="W98">
        <v>0</v>
      </c>
      <c r="X98">
        <v>0</v>
      </c>
      <c r="Y98">
        <v>20</v>
      </c>
      <c r="Z98" t="s">
        <v>15</v>
      </c>
      <c r="AA98" t="s">
        <v>350</v>
      </c>
    </row>
    <row r="99" spans="1:27">
      <c r="E99">
        <v>7926442035</v>
      </c>
      <c r="F99" t="s">
        <v>11</v>
      </c>
      <c r="G99" t="s">
        <v>234</v>
      </c>
      <c r="H99" t="s">
        <v>108</v>
      </c>
      <c r="I99" t="s">
        <v>42</v>
      </c>
      <c r="J99" t="s">
        <v>351</v>
      </c>
      <c r="K99" t="s">
        <v>451</v>
      </c>
      <c r="P99" t="s">
        <v>352</v>
      </c>
      <c r="Q99">
        <v>5</v>
      </c>
      <c r="R99">
        <v>5</v>
      </c>
      <c r="S99">
        <v>0</v>
      </c>
      <c r="T99">
        <v>0</v>
      </c>
      <c r="U99">
        <v>0</v>
      </c>
      <c r="V99">
        <v>0</v>
      </c>
      <c r="W99">
        <v>10</v>
      </c>
      <c r="X99">
        <v>0</v>
      </c>
      <c r="Y99">
        <v>20</v>
      </c>
      <c r="Z99" t="s">
        <v>15</v>
      </c>
      <c r="AA99" t="s">
        <v>353</v>
      </c>
    </row>
    <row r="100" spans="1:27">
      <c r="E100">
        <v>7954668084</v>
      </c>
      <c r="F100" t="s">
        <v>11</v>
      </c>
      <c r="G100" t="s">
        <v>210</v>
      </c>
      <c r="H100" t="s">
        <v>210</v>
      </c>
      <c r="I100" t="s">
        <v>42</v>
      </c>
      <c r="J100" t="s">
        <v>437</v>
      </c>
      <c r="N100" t="s">
        <v>553</v>
      </c>
      <c r="P100" t="s">
        <v>439</v>
      </c>
      <c r="Q100">
        <v>5</v>
      </c>
      <c r="R100">
        <v>5</v>
      </c>
      <c r="S100">
        <v>0</v>
      </c>
      <c r="T100">
        <v>0</v>
      </c>
      <c r="U100">
        <v>0</v>
      </c>
      <c r="V100">
        <v>0</v>
      </c>
      <c r="W100">
        <v>10</v>
      </c>
      <c r="Y100">
        <v>20</v>
      </c>
      <c r="Z100" t="s">
        <v>15</v>
      </c>
      <c r="AA100" t="s">
        <v>554</v>
      </c>
    </row>
    <row r="101" spans="1:27">
      <c r="A101" t="s">
        <v>1068</v>
      </c>
      <c r="E101">
        <v>7938137007</v>
      </c>
      <c r="F101" t="s">
        <v>11</v>
      </c>
      <c r="G101" t="s">
        <v>186</v>
      </c>
      <c r="H101" t="s">
        <v>186</v>
      </c>
      <c r="I101" t="s">
        <v>42</v>
      </c>
      <c r="J101" t="s">
        <v>1069</v>
      </c>
      <c r="K101" t="s">
        <v>1070</v>
      </c>
      <c r="L101" t="s">
        <v>1071</v>
      </c>
      <c r="N101" t="s">
        <v>1072</v>
      </c>
      <c r="P101" t="s">
        <v>1073</v>
      </c>
      <c r="Q101">
        <v>5</v>
      </c>
      <c r="R101">
        <v>5</v>
      </c>
      <c r="S101">
        <v>5</v>
      </c>
      <c r="T101">
        <v>0</v>
      </c>
      <c r="U101">
        <v>0</v>
      </c>
      <c r="V101">
        <v>0</v>
      </c>
      <c r="W101">
        <v>0</v>
      </c>
      <c r="X101">
        <v>0</v>
      </c>
      <c r="Y101">
        <v>15</v>
      </c>
      <c r="Z101" t="s">
        <v>15</v>
      </c>
      <c r="AA101" t="s">
        <v>356</v>
      </c>
    </row>
    <row r="102" spans="1:27">
      <c r="E102">
        <v>5856156091</v>
      </c>
      <c r="F102" t="s">
        <v>10</v>
      </c>
      <c r="G102" t="s">
        <v>74</v>
      </c>
      <c r="H102" t="s">
        <v>75</v>
      </c>
      <c r="I102" t="s">
        <v>76</v>
      </c>
      <c r="J102" t="s">
        <v>357</v>
      </c>
      <c r="K102" t="s">
        <v>1074</v>
      </c>
      <c r="N102" t="s">
        <v>1075</v>
      </c>
      <c r="P102" t="s">
        <v>358</v>
      </c>
      <c r="Q102">
        <v>0</v>
      </c>
      <c r="R102">
        <v>0</v>
      </c>
      <c r="S102">
        <v>0</v>
      </c>
      <c r="T102">
        <v>0</v>
      </c>
      <c r="U102">
        <v>0</v>
      </c>
      <c r="V102" t="s">
        <v>45</v>
      </c>
      <c r="W102" t="s">
        <v>45</v>
      </c>
      <c r="X102" t="s">
        <v>45</v>
      </c>
      <c r="Y102">
        <v>0</v>
      </c>
      <c r="Z102" t="s">
        <v>15</v>
      </c>
      <c r="AA102" t="s">
        <v>359</v>
      </c>
    </row>
    <row r="103" spans="1:27">
      <c r="E103">
        <v>5858783119</v>
      </c>
      <c r="F103" t="s">
        <v>10</v>
      </c>
      <c r="G103" t="s">
        <v>361</v>
      </c>
      <c r="H103" t="s">
        <v>223</v>
      </c>
      <c r="I103" t="s">
        <v>51</v>
      </c>
      <c r="J103" t="s">
        <v>889</v>
      </c>
      <c r="K103" t="s">
        <v>558</v>
      </c>
      <c r="N103" t="s">
        <v>559</v>
      </c>
      <c r="P103" t="s">
        <v>1076</v>
      </c>
      <c r="Q103">
        <v>0</v>
      </c>
      <c r="R103">
        <v>0</v>
      </c>
      <c r="S103">
        <v>0</v>
      </c>
      <c r="T103">
        <v>0</v>
      </c>
      <c r="U103">
        <v>0</v>
      </c>
      <c r="V103" t="s">
        <v>45</v>
      </c>
      <c r="W103" t="s">
        <v>45</v>
      </c>
      <c r="X103" t="s">
        <v>45</v>
      </c>
      <c r="Y103">
        <v>0</v>
      </c>
      <c r="Z103" t="s">
        <v>15</v>
      </c>
      <c r="AA103" t="s">
        <v>364</v>
      </c>
    </row>
    <row r="104" spans="1:27">
      <c r="E104">
        <v>7900532053</v>
      </c>
      <c r="F104" t="s">
        <v>11</v>
      </c>
      <c r="G104" t="s">
        <v>560</v>
      </c>
      <c r="H104" t="s">
        <v>223</v>
      </c>
      <c r="I104" t="s">
        <v>51</v>
      </c>
      <c r="J104" t="s">
        <v>437</v>
      </c>
      <c r="K104" t="s">
        <v>561</v>
      </c>
      <c r="N104" t="s">
        <v>453</v>
      </c>
      <c r="P104" t="s">
        <v>439</v>
      </c>
      <c r="Q104">
        <v>0</v>
      </c>
      <c r="R104">
        <v>0</v>
      </c>
      <c r="S104">
        <v>0</v>
      </c>
      <c r="T104">
        <v>0</v>
      </c>
      <c r="U104">
        <v>0</v>
      </c>
      <c r="V104">
        <v>0</v>
      </c>
      <c r="W104">
        <v>0</v>
      </c>
      <c r="X104">
        <v>0</v>
      </c>
      <c r="Y104">
        <v>0</v>
      </c>
      <c r="Z104" t="s">
        <v>45</v>
      </c>
      <c r="AA104" t="s">
        <v>562</v>
      </c>
    </row>
    <row r="105" spans="1:27">
      <c r="E105">
        <v>7925713040</v>
      </c>
      <c r="F105" t="s">
        <v>11</v>
      </c>
      <c r="G105" t="s">
        <v>492</v>
      </c>
      <c r="H105" t="s">
        <v>57</v>
      </c>
      <c r="I105" t="s">
        <v>51</v>
      </c>
      <c r="J105" t="s">
        <v>672</v>
      </c>
      <c r="P105" t="s">
        <v>673</v>
      </c>
      <c r="Q105" t="s">
        <v>696</v>
      </c>
      <c r="Y105">
        <v>0</v>
      </c>
    </row>
    <row r="106" spans="1:27">
      <c r="E106">
        <v>7948412064</v>
      </c>
      <c r="F106" t="s">
        <v>11</v>
      </c>
      <c r="G106" t="s">
        <v>563</v>
      </c>
      <c r="H106" t="s">
        <v>50</v>
      </c>
      <c r="I106" t="s">
        <v>51</v>
      </c>
      <c r="J106" t="s">
        <v>665</v>
      </c>
      <c r="P106" t="s">
        <v>667</v>
      </c>
      <c r="Q106" t="s">
        <v>696</v>
      </c>
      <c r="Y106">
        <v>0</v>
      </c>
    </row>
    <row r="107" spans="1:27">
      <c r="E107">
        <v>7955832052</v>
      </c>
      <c r="F107" t="s">
        <v>11</v>
      </c>
      <c r="G107" t="s">
        <v>192</v>
      </c>
      <c r="H107" t="s">
        <v>192</v>
      </c>
      <c r="I107" t="s">
        <v>76</v>
      </c>
      <c r="J107" t="s">
        <v>365</v>
      </c>
      <c r="P107" t="s">
        <v>367</v>
      </c>
      <c r="Q107" t="s">
        <v>696</v>
      </c>
      <c r="Y107">
        <v>0</v>
      </c>
    </row>
    <row r="108" spans="1:27">
      <c r="E108">
        <v>7930359149</v>
      </c>
      <c r="F108" t="s">
        <v>11</v>
      </c>
      <c r="G108" t="s">
        <v>257</v>
      </c>
      <c r="H108" t="s">
        <v>210</v>
      </c>
      <c r="I108" t="s">
        <v>42</v>
      </c>
      <c r="J108" t="s">
        <v>369</v>
      </c>
      <c r="P108" t="s">
        <v>371</v>
      </c>
      <c r="Q108" t="s">
        <v>696</v>
      </c>
      <c r="Y108">
        <v>0</v>
      </c>
    </row>
    <row r="109" spans="1:27">
      <c r="E109">
        <v>7902098003</v>
      </c>
      <c r="F109" t="s">
        <v>11</v>
      </c>
      <c r="G109" t="s">
        <v>336</v>
      </c>
      <c r="H109" t="s">
        <v>336</v>
      </c>
      <c r="I109" t="s">
        <v>76</v>
      </c>
      <c r="J109" t="s">
        <v>372</v>
      </c>
      <c r="P109" t="s">
        <v>374</v>
      </c>
      <c r="Q109" t="s">
        <v>696</v>
      </c>
      <c r="Y109">
        <v>0</v>
      </c>
    </row>
    <row r="110" spans="1:27">
      <c r="E110">
        <v>7953211079</v>
      </c>
      <c r="F110" t="s">
        <v>11</v>
      </c>
      <c r="G110" t="s">
        <v>376</v>
      </c>
      <c r="H110" t="s">
        <v>50</v>
      </c>
      <c r="I110" t="s">
        <v>51</v>
      </c>
      <c r="J110" t="s">
        <v>1077</v>
      </c>
      <c r="P110" t="s">
        <v>1078</v>
      </c>
      <c r="Q110" t="s">
        <v>696</v>
      </c>
      <c r="Y110">
        <v>0</v>
      </c>
    </row>
    <row r="111" spans="1:27">
      <c r="E111">
        <v>7949648145</v>
      </c>
      <c r="F111" t="s">
        <v>11</v>
      </c>
      <c r="G111" t="s">
        <v>380</v>
      </c>
      <c r="H111" t="s">
        <v>132</v>
      </c>
      <c r="I111" t="s">
        <v>51</v>
      </c>
      <c r="J111" t="s">
        <v>379</v>
      </c>
      <c r="P111" t="s">
        <v>382</v>
      </c>
      <c r="Q111" t="s">
        <v>696</v>
      </c>
      <c r="Y111">
        <v>0</v>
      </c>
    </row>
    <row r="112" spans="1:27">
      <c r="E112">
        <v>7957021094</v>
      </c>
      <c r="F112" t="s">
        <v>11</v>
      </c>
      <c r="G112" t="s">
        <v>177</v>
      </c>
      <c r="H112" t="s">
        <v>177</v>
      </c>
      <c r="I112" t="s">
        <v>76</v>
      </c>
      <c r="J112" t="s">
        <v>437</v>
      </c>
      <c r="P112" t="s">
        <v>439</v>
      </c>
      <c r="Q112" t="s">
        <v>696</v>
      </c>
      <c r="Y112">
        <v>0</v>
      </c>
    </row>
    <row r="113" spans="1:25">
      <c r="E113">
        <v>7908300096</v>
      </c>
      <c r="F113" t="s">
        <v>11</v>
      </c>
      <c r="G113" t="s">
        <v>316</v>
      </c>
      <c r="H113" t="s">
        <v>108</v>
      </c>
      <c r="I113" t="s">
        <v>42</v>
      </c>
      <c r="J113" t="s">
        <v>383</v>
      </c>
      <c r="P113" t="s">
        <v>384</v>
      </c>
      <c r="Q113" t="s">
        <v>696</v>
      </c>
      <c r="Y113">
        <v>0</v>
      </c>
    </row>
    <row r="114" spans="1:25">
      <c r="A114" t="s">
        <v>966</v>
      </c>
      <c r="B114" t="s">
        <v>1010</v>
      </c>
      <c r="E114">
        <v>7953570026</v>
      </c>
      <c r="F114" t="s">
        <v>11</v>
      </c>
      <c r="G114" t="s">
        <v>108</v>
      </c>
      <c r="H114" t="s">
        <v>108</v>
      </c>
      <c r="I114" t="s">
        <v>42</v>
      </c>
      <c r="J114" t="s">
        <v>385</v>
      </c>
      <c r="P114" t="s">
        <v>386</v>
      </c>
      <c r="Q114" t="s">
        <v>696</v>
      </c>
      <c r="Y114">
        <v>0</v>
      </c>
    </row>
    <row r="115" spans="1:25">
      <c r="A115" t="s">
        <v>966</v>
      </c>
      <c r="B115" s="7" t="s">
        <v>1079</v>
      </c>
      <c r="C115" s="7"/>
      <c r="D115" s="7"/>
      <c r="E115">
        <v>7911120026</v>
      </c>
      <c r="F115" t="s">
        <v>11</v>
      </c>
      <c r="G115" t="s">
        <v>108</v>
      </c>
      <c r="H115" t="s">
        <v>108</v>
      </c>
      <c r="I115" t="s">
        <v>42</v>
      </c>
      <c r="J115" t="s">
        <v>387</v>
      </c>
      <c r="K115" t="s">
        <v>497</v>
      </c>
      <c r="P115" t="s">
        <v>389</v>
      </c>
      <c r="Q115" t="s">
        <v>696</v>
      </c>
      <c r="Y115">
        <v>0</v>
      </c>
    </row>
    <row r="116" spans="1:25">
      <c r="E116">
        <v>5820790038</v>
      </c>
      <c r="F116" t="s">
        <v>10</v>
      </c>
      <c r="G116" t="s">
        <v>564</v>
      </c>
      <c r="H116" t="s">
        <v>75</v>
      </c>
      <c r="I116" t="s">
        <v>76</v>
      </c>
      <c r="J116" t="s">
        <v>437</v>
      </c>
      <c r="P116" t="s">
        <v>439</v>
      </c>
      <c r="Q116" t="s">
        <v>696</v>
      </c>
      <c r="Y116">
        <v>0</v>
      </c>
    </row>
    <row r="117" spans="1:25">
      <c r="E117">
        <v>7934697002</v>
      </c>
      <c r="F117" t="s">
        <v>11</v>
      </c>
      <c r="G117" t="s">
        <v>223</v>
      </c>
      <c r="H117" t="s">
        <v>223</v>
      </c>
      <c r="I117" t="s">
        <v>51</v>
      </c>
      <c r="J117" t="s">
        <v>674</v>
      </c>
      <c r="P117" t="s">
        <v>676</v>
      </c>
      <c r="Q117" t="s">
        <v>696</v>
      </c>
      <c r="Y117">
        <v>0</v>
      </c>
    </row>
  </sheetData>
  <autoFilter ref="A1:AA117" xr:uid="{31A4CA31-C363-4ED3-A0AE-93265F3F5281}"/>
  <pageMargins left="0.511811024" right="0.511811024" top="0.78740157499999996" bottom="0.78740157499999996" header="0.31496062000000002" footer="0.31496062000000002"/>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72F9E-5EBC-4832-9F56-A7DB9B7501D6}">
  <dimension ref="A1:G276"/>
  <sheetViews>
    <sheetView workbookViewId="0"/>
  </sheetViews>
  <sheetFormatPr defaultRowHeight="15"/>
  <cols>
    <col min="1" max="1" width="12" bestFit="1" customWidth="1"/>
    <col min="2" max="2" width="11.85546875" bestFit="1" customWidth="1"/>
    <col min="3" max="3" width="32.85546875" bestFit="1" customWidth="1"/>
    <col min="4" max="4" width="11.42578125" bestFit="1" customWidth="1"/>
    <col min="5" max="6" width="25.140625" bestFit="1" customWidth="1"/>
    <col min="7" max="7" width="15.140625" bestFit="1" customWidth="1"/>
  </cols>
  <sheetData>
    <row r="1" spans="1:7">
      <c r="A1" t="s">
        <v>1080</v>
      </c>
      <c r="B1" t="s">
        <v>1081</v>
      </c>
      <c r="C1" t="s">
        <v>1082</v>
      </c>
      <c r="D1" t="s">
        <v>1083</v>
      </c>
      <c r="E1" t="s">
        <v>1084</v>
      </c>
      <c r="F1" t="s">
        <v>1085</v>
      </c>
      <c r="G1" t="s">
        <v>1086</v>
      </c>
    </row>
    <row r="2" spans="1:7">
      <c r="A2">
        <v>233</v>
      </c>
      <c r="B2" t="s">
        <v>1087</v>
      </c>
      <c r="C2" t="s">
        <v>1088</v>
      </c>
      <c r="D2" t="s">
        <v>1089</v>
      </c>
      <c r="E2" t="s">
        <v>210</v>
      </c>
      <c r="F2" t="s">
        <v>210</v>
      </c>
      <c r="G2" t="s">
        <v>42</v>
      </c>
    </row>
    <row r="3" spans="1:7">
      <c r="A3">
        <v>123</v>
      </c>
      <c r="B3" t="s">
        <v>1090</v>
      </c>
      <c r="C3" t="s">
        <v>1091</v>
      </c>
      <c r="D3" t="s">
        <v>1092</v>
      </c>
      <c r="E3" t="s">
        <v>223</v>
      </c>
      <c r="F3" t="s">
        <v>223</v>
      </c>
      <c r="G3" t="s">
        <v>51</v>
      </c>
    </row>
    <row r="4" spans="1:7">
      <c r="A4">
        <v>37</v>
      </c>
      <c r="B4" t="s">
        <v>1093</v>
      </c>
      <c r="C4" t="s">
        <v>1094</v>
      </c>
      <c r="D4" t="s">
        <v>1095</v>
      </c>
      <c r="E4" t="s">
        <v>336</v>
      </c>
      <c r="F4" t="s">
        <v>336</v>
      </c>
      <c r="G4" t="s">
        <v>76</v>
      </c>
    </row>
    <row r="5" spans="1:7">
      <c r="A5">
        <v>91</v>
      </c>
      <c r="B5" t="s">
        <v>1096</v>
      </c>
      <c r="C5" t="s">
        <v>74</v>
      </c>
      <c r="D5" t="s">
        <v>1097</v>
      </c>
      <c r="E5" t="s">
        <v>75</v>
      </c>
      <c r="F5" t="s">
        <v>75</v>
      </c>
      <c r="G5" t="s">
        <v>76</v>
      </c>
    </row>
    <row r="6" spans="1:7">
      <c r="A6">
        <v>128</v>
      </c>
      <c r="B6" t="s">
        <v>1098</v>
      </c>
      <c r="C6" t="s">
        <v>1099</v>
      </c>
      <c r="D6" t="s">
        <v>1097</v>
      </c>
      <c r="E6" t="s">
        <v>75</v>
      </c>
      <c r="F6" t="s">
        <v>75</v>
      </c>
      <c r="G6" t="s">
        <v>76</v>
      </c>
    </row>
    <row r="7" spans="1:7">
      <c r="A7">
        <v>217</v>
      </c>
      <c r="B7" t="s">
        <v>1098</v>
      </c>
      <c r="C7" t="s">
        <v>1100</v>
      </c>
      <c r="D7" t="s">
        <v>1101</v>
      </c>
      <c r="E7" t="s">
        <v>132</v>
      </c>
      <c r="F7" t="s">
        <v>132</v>
      </c>
      <c r="G7" t="s">
        <v>51</v>
      </c>
    </row>
    <row r="8" spans="1:7">
      <c r="A8">
        <v>146</v>
      </c>
      <c r="B8" t="s">
        <v>1098</v>
      </c>
      <c r="C8" t="s">
        <v>1102</v>
      </c>
      <c r="D8" t="s">
        <v>1103</v>
      </c>
      <c r="E8" t="s">
        <v>50</v>
      </c>
      <c r="F8" t="s">
        <v>50</v>
      </c>
      <c r="G8" t="s">
        <v>51</v>
      </c>
    </row>
    <row r="9" spans="1:7">
      <c r="A9">
        <v>36</v>
      </c>
      <c r="B9" t="s">
        <v>1104</v>
      </c>
      <c r="C9" t="s">
        <v>449</v>
      </c>
      <c r="D9" t="s">
        <v>1105</v>
      </c>
      <c r="E9" t="s">
        <v>192</v>
      </c>
      <c r="F9" t="s">
        <v>449</v>
      </c>
      <c r="G9" t="s">
        <v>76</v>
      </c>
    </row>
    <row r="10" spans="1:7">
      <c r="A10">
        <v>138</v>
      </c>
      <c r="B10" t="s">
        <v>1106</v>
      </c>
      <c r="C10" t="s">
        <v>1107</v>
      </c>
      <c r="D10" t="s">
        <v>1097</v>
      </c>
      <c r="E10" t="s">
        <v>75</v>
      </c>
      <c r="F10" t="s">
        <v>75</v>
      </c>
      <c r="G10" t="s">
        <v>76</v>
      </c>
    </row>
    <row r="11" spans="1:7">
      <c r="A11">
        <v>98</v>
      </c>
      <c r="B11" t="s">
        <v>1108</v>
      </c>
      <c r="C11" t="s">
        <v>1109</v>
      </c>
      <c r="D11" t="s">
        <v>1092</v>
      </c>
      <c r="E11" t="s">
        <v>223</v>
      </c>
      <c r="F11" t="s">
        <v>223</v>
      </c>
      <c r="G11" t="s">
        <v>51</v>
      </c>
    </row>
    <row r="12" spans="1:7">
      <c r="A12">
        <v>109</v>
      </c>
      <c r="B12" t="s">
        <v>1110</v>
      </c>
      <c r="C12" t="s">
        <v>1111</v>
      </c>
      <c r="D12" t="s">
        <v>1092</v>
      </c>
      <c r="E12" t="s">
        <v>223</v>
      </c>
      <c r="F12" t="s">
        <v>223</v>
      </c>
      <c r="G12" t="s">
        <v>51</v>
      </c>
    </row>
    <row r="13" spans="1:7">
      <c r="A13">
        <v>83</v>
      </c>
      <c r="B13" t="s">
        <v>1112</v>
      </c>
      <c r="C13" t="s">
        <v>490</v>
      </c>
      <c r="D13" t="s">
        <v>1113</v>
      </c>
      <c r="E13" t="s">
        <v>62</v>
      </c>
      <c r="F13" t="s">
        <v>62</v>
      </c>
      <c r="G13" t="s">
        <v>42</v>
      </c>
    </row>
    <row r="14" spans="1:7">
      <c r="A14">
        <v>260</v>
      </c>
      <c r="B14" t="s">
        <v>1114</v>
      </c>
      <c r="C14" t="s">
        <v>1115</v>
      </c>
      <c r="D14" t="s">
        <v>1116</v>
      </c>
      <c r="E14" t="s">
        <v>177</v>
      </c>
      <c r="F14" t="s">
        <v>177</v>
      </c>
      <c r="G14" t="s">
        <v>76</v>
      </c>
    </row>
    <row r="15" spans="1:7">
      <c r="A15">
        <v>197</v>
      </c>
      <c r="B15" t="s">
        <v>1117</v>
      </c>
      <c r="C15" t="s">
        <v>1118</v>
      </c>
      <c r="D15" t="s">
        <v>1092</v>
      </c>
      <c r="E15" t="s">
        <v>223</v>
      </c>
      <c r="F15" t="s">
        <v>57</v>
      </c>
      <c r="G15" t="s">
        <v>51</v>
      </c>
    </row>
    <row r="16" spans="1:7">
      <c r="A16">
        <v>40</v>
      </c>
      <c r="B16" t="s">
        <v>1117</v>
      </c>
      <c r="C16" t="s">
        <v>492</v>
      </c>
      <c r="D16" t="s">
        <v>1117</v>
      </c>
      <c r="E16" t="s">
        <v>57</v>
      </c>
      <c r="F16" t="s">
        <v>57</v>
      </c>
      <c r="G16" t="s">
        <v>51</v>
      </c>
    </row>
    <row r="17" spans="1:7">
      <c r="A17">
        <v>55</v>
      </c>
      <c r="B17" t="s">
        <v>1117</v>
      </c>
      <c r="C17" t="s">
        <v>458</v>
      </c>
      <c r="D17" t="s">
        <v>1089</v>
      </c>
      <c r="E17" t="s">
        <v>210</v>
      </c>
      <c r="F17" t="s">
        <v>210</v>
      </c>
      <c r="G17" t="s">
        <v>42</v>
      </c>
    </row>
    <row r="18" spans="1:7">
      <c r="A18">
        <v>32</v>
      </c>
      <c r="B18" t="s">
        <v>1117</v>
      </c>
      <c r="C18" t="s">
        <v>448</v>
      </c>
      <c r="D18" t="s">
        <v>1105</v>
      </c>
      <c r="E18" t="s">
        <v>192</v>
      </c>
      <c r="F18" t="s">
        <v>449</v>
      </c>
      <c r="G18" t="s">
        <v>76</v>
      </c>
    </row>
    <row r="19" spans="1:7">
      <c r="A19">
        <v>4</v>
      </c>
      <c r="B19" t="s">
        <v>1117</v>
      </c>
      <c r="C19" t="s">
        <v>57</v>
      </c>
      <c r="D19" t="s">
        <v>1117</v>
      </c>
      <c r="E19" t="s">
        <v>57</v>
      </c>
      <c r="F19" t="s">
        <v>57</v>
      </c>
      <c r="G19" t="s">
        <v>51</v>
      </c>
    </row>
    <row r="20" spans="1:7">
      <c r="A20">
        <v>157</v>
      </c>
      <c r="B20" t="s">
        <v>1117</v>
      </c>
      <c r="C20" t="s">
        <v>1119</v>
      </c>
      <c r="D20" t="s">
        <v>1092</v>
      </c>
      <c r="E20" t="s">
        <v>223</v>
      </c>
      <c r="F20" t="s">
        <v>223</v>
      </c>
      <c r="G20" t="s">
        <v>51</v>
      </c>
    </row>
    <row r="21" spans="1:7">
      <c r="A21">
        <v>39</v>
      </c>
      <c r="B21" t="s">
        <v>1117</v>
      </c>
      <c r="C21" t="s">
        <v>267</v>
      </c>
      <c r="D21" t="s">
        <v>1101</v>
      </c>
      <c r="E21" t="s">
        <v>132</v>
      </c>
      <c r="F21" t="s">
        <v>132</v>
      </c>
      <c r="G21" t="s">
        <v>51</v>
      </c>
    </row>
    <row r="22" spans="1:7">
      <c r="A22">
        <v>25</v>
      </c>
      <c r="B22" t="s">
        <v>1117</v>
      </c>
      <c r="C22" t="s">
        <v>162</v>
      </c>
      <c r="D22" t="s">
        <v>1120</v>
      </c>
      <c r="E22" t="s">
        <v>154</v>
      </c>
      <c r="F22" t="s">
        <v>154</v>
      </c>
      <c r="G22" t="s">
        <v>51</v>
      </c>
    </row>
    <row r="23" spans="1:7">
      <c r="A23">
        <v>5</v>
      </c>
      <c r="B23" t="s">
        <v>1121</v>
      </c>
      <c r="C23" t="s">
        <v>395</v>
      </c>
      <c r="D23" t="s">
        <v>1097</v>
      </c>
      <c r="E23" t="s">
        <v>75</v>
      </c>
      <c r="F23" t="s">
        <v>75</v>
      </c>
      <c r="G23" t="s">
        <v>76</v>
      </c>
    </row>
    <row r="24" spans="1:7">
      <c r="A24">
        <v>45</v>
      </c>
      <c r="B24" t="s">
        <v>1101</v>
      </c>
      <c r="C24" t="s">
        <v>132</v>
      </c>
      <c r="D24" t="s">
        <v>1101</v>
      </c>
      <c r="E24" t="s">
        <v>132</v>
      </c>
      <c r="F24" t="s">
        <v>132</v>
      </c>
      <c r="G24" t="s">
        <v>51</v>
      </c>
    </row>
    <row r="25" spans="1:7">
      <c r="A25">
        <v>49</v>
      </c>
      <c r="B25" t="s">
        <v>1122</v>
      </c>
      <c r="C25" t="s">
        <v>86</v>
      </c>
      <c r="D25" t="s">
        <v>1097</v>
      </c>
      <c r="E25" t="s">
        <v>75</v>
      </c>
      <c r="F25" t="s">
        <v>75</v>
      </c>
      <c r="G25" t="s">
        <v>76</v>
      </c>
    </row>
    <row r="26" spans="1:7">
      <c r="A26">
        <v>65</v>
      </c>
      <c r="B26" t="s">
        <v>1123</v>
      </c>
      <c r="C26" t="s">
        <v>1124</v>
      </c>
      <c r="D26" t="s">
        <v>1101</v>
      </c>
      <c r="E26" t="s">
        <v>132</v>
      </c>
      <c r="F26" t="s">
        <v>132</v>
      </c>
      <c r="G26" t="s">
        <v>51</v>
      </c>
    </row>
    <row r="27" spans="1:7">
      <c r="A27">
        <v>114</v>
      </c>
      <c r="B27" t="s">
        <v>1125</v>
      </c>
      <c r="C27" t="s">
        <v>1126</v>
      </c>
      <c r="D27" t="s">
        <v>1097</v>
      </c>
      <c r="E27" t="s">
        <v>75</v>
      </c>
      <c r="F27" t="s">
        <v>75</v>
      </c>
      <c r="G27" t="s">
        <v>76</v>
      </c>
    </row>
    <row r="28" spans="1:7">
      <c r="A28">
        <v>22</v>
      </c>
      <c r="B28" t="s">
        <v>1127</v>
      </c>
      <c r="C28" t="s">
        <v>102</v>
      </c>
      <c r="D28" t="s">
        <v>1117</v>
      </c>
      <c r="E28" t="s">
        <v>57</v>
      </c>
      <c r="F28" t="s">
        <v>223</v>
      </c>
      <c r="G28" t="s">
        <v>51</v>
      </c>
    </row>
    <row r="29" spans="1:7">
      <c r="A29">
        <v>244</v>
      </c>
      <c r="B29" t="s">
        <v>1128</v>
      </c>
      <c r="C29" t="s">
        <v>1129</v>
      </c>
      <c r="D29" t="s">
        <v>1105</v>
      </c>
      <c r="E29" t="s">
        <v>192</v>
      </c>
      <c r="F29" t="s">
        <v>449</v>
      </c>
      <c r="G29" t="s">
        <v>76</v>
      </c>
    </row>
    <row r="30" spans="1:7">
      <c r="A30">
        <v>63</v>
      </c>
      <c r="B30" t="s">
        <v>1130</v>
      </c>
      <c r="C30" t="s">
        <v>204</v>
      </c>
      <c r="D30" t="s">
        <v>1120</v>
      </c>
      <c r="E30" t="s">
        <v>154</v>
      </c>
      <c r="F30" t="s">
        <v>154</v>
      </c>
      <c r="G30" t="s">
        <v>51</v>
      </c>
    </row>
    <row r="31" spans="1:7">
      <c r="A31">
        <v>254</v>
      </c>
      <c r="B31" t="s">
        <v>1131</v>
      </c>
      <c r="C31" t="s">
        <v>1132</v>
      </c>
      <c r="D31" t="s">
        <v>1113</v>
      </c>
      <c r="E31" t="s">
        <v>62</v>
      </c>
      <c r="F31" t="s">
        <v>62</v>
      </c>
      <c r="G31" t="s">
        <v>42</v>
      </c>
    </row>
    <row r="32" spans="1:7">
      <c r="A32">
        <v>170</v>
      </c>
      <c r="B32" t="s">
        <v>1131</v>
      </c>
      <c r="C32" t="s">
        <v>1133</v>
      </c>
      <c r="D32" t="s">
        <v>1117</v>
      </c>
      <c r="E32" t="s">
        <v>57</v>
      </c>
      <c r="F32" t="s">
        <v>57</v>
      </c>
      <c r="G32" t="s">
        <v>51</v>
      </c>
    </row>
    <row r="33" spans="1:7">
      <c r="A33">
        <v>265</v>
      </c>
      <c r="B33" t="s">
        <v>1131</v>
      </c>
      <c r="C33" t="s">
        <v>1134</v>
      </c>
      <c r="D33" t="s">
        <v>1117</v>
      </c>
      <c r="E33" t="s">
        <v>57</v>
      </c>
      <c r="F33" t="s">
        <v>57</v>
      </c>
      <c r="G33" t="s">
        <v>51</v>
      </c>
    </row>
    <row r="34" spans="1:7">
      <c r="A34">
        <v>17</v>
      </c>
      <c r="B34" t="s">
        <v>1131</v>
      </c>
      <c r="C34" t="s">
        <v>302</v>
      </c>
      <c r="D34" t="s">
        <v>1135</v>
      </c>
      <c r="E34" t="s">
        <v>186</v>
      </c>
      <c r="F34" t="s">
        <v>186</v>
      </c>
      <c r="G34" t="s">
        <v>42</v>
      </c>
    </row>
    <row r="35" spans="1:7">
      <c r="A35">
        <v>130</v>
      </c>
      <c r="B35" t="s">
        <v>1136</v>
      </c>
      <c r="C35" t="s">
        <v>1137</v>
      </c>
      <c r="D35" t="s">
        <v>1101</v>
      </c>
      <c r="E35" t="s">
        <v>132</v>
      </c>
      <c r="F35" t="s">
        <v>132</v>
      </c>
      <c r="G35" t="s">
        <v>51</v>
      </c>
    </row>
    <row r="36" spans="1:7">
      <c r="A36">
        <v>153</v>
      </c>
      <c r="B36" t="s">
        <v>1138</v>
      </c>
      <c r="C36" t="s">
        <v>1139</v>
      </c>
      <c r="D36" t="s">
        <v>1120</v>
      </c>
      <c r="E36" t="s">
        <v>154</v>
      </c>
      <c r="F36" t="s">
        <v>154</v>
      </c>
      <c r="G36" t="s">
        <v>51</v>
      </c>
    </row>
    <row r="37" spans="1:7">
      <c r="A37">
        <v>158</v>
      </c>
      <c r="B37" t="s">
        <v>1140</v>
      </c>
      <c r="C37" t="s">
        <v>1141</v>
      </c>
      <c r="D37" t="s">
        <v>1117</v>
      </c>
      <c r="E37" t="s">
        <v>57</v>
      </c>
      <c r="F37" t="s">
        <v>57</v>
      </c>
      <c r="G37" t="s">
        <v>51</v>
      </c>
    </row>
    <row r="38" spans="1:7">
      <c r="A38">
        <v>166</v>
      </c>
      <c r="B38" t="s">
        <v>1142</v>
      </c>
      <c r="C38" t="s">
        <v>1143</v>
      </c>
      <c r="D38" t="s">
        <v>1101</v>
      </c>
      <c r="E38" t="s">
        <v>132</v>
      </c>
      <c r="F38" t="s">
        <v>132</v>
      </c>
      <c r="G38" t="s">
        <v>51</v>
      </c>
    </row>
    <row r="39" spans="1:7">
      <c r="A39">
        <v>18</v>
      </c>
      <c r="B39" t="s">
        <v>1144</v>
      </c>
      <c r="C39" t="s">
        <v>1145</v>
      </c>
      <c r="D39" t="s">
        <v>1103</v>
      </c>
      <c r="E39" t="s">
        <v>50</v>
      </c>
      <c r="F39" t="s">
        <v>50</v>
      </c>
      <c r="G39" t="s">
        <v>51</v>
      </c>
    </row>
    <row r="40" spans="1:7">
      <c r="A40">
        <v>150</v>
      </c>
      <c r="B40" t="s">
        <v>1146</v>
      </c>
      <c r="C40" t="s">
        <v>1147</v>
      </c>
      <c r="D40" t="s">
        <v>1097</v>
      </c>
      <c r="E40" t="s">
        <v>75</v>
      </c>
      <c r="F40" t="s">
        <v>75</v>
      </c>
      <c r="G40" t="s">
        <v>76</v>
      </c>
    </row>
    <row r="41" spans="1:7">
      <c r="A41">
        <v>64</v>
      </c>
      <c r="B41" t="s">
        <v>1148</v>
      </c>
      <c r="C41" t="s">
        <v>563</v>
      </c>
      <c r="D41" t="s">
        <v>1103</v>
      </c>
      <c r="E41" t="s">
        <v>50</v>
      </c>
      <c r="F41" t="s">
        <v>50</v>
      </c>
      <c r="G41" t="s">
        <v>51</v>
      </c>
    </row>
    <row r="42" spans="1:7">
      <c r="A42">
        <v>62</v>
      </c>
      <c r="B42" t="s">
        <v>1148</v>
      </c>
      <c r="C42" t="s">
        <v>1149</v>
      </c>
      <c r="D42" t="s">
        <v>1120</v>
      </c>
      <c r="E42" t="s">
        <v>154</v>
      </c>
      <c r="F42" t="s">
        <v>154</v>
      </c>
      <c r="G42" t="s">
        <v>51</v>
      </c>
    </row>
    <row r="43" spans="1:7">
      <c r="A43">
        <v>167</v>
      </c>
      <c r="B43" t="s">
        <v>1150</v>
      </c>
      <c r="C43" t="s">
        <v>1151</v>
      </c>
      <c r="D43" t="s">
        <v>1092</v>
      </c>
      <c r="E43" t="s">
        <v>223</v>
      </c>
      <c r="F43" t="s">
        <v>223</v>
      </c>
      <c r="G43" t="s">
        <v>51</v>
      </c>
    </row>
    <row r="44" spans="1:7">
      <c r="A44">
        <v>71</v>
      </c>
      <c r="B44" t="s">
        <v>1150</v>
      </c>
      <c r="C44" t="s">
        <v>1152</v>
      </c>
      <c r="D44" t="s">
        <v>1153</v>
      </c>
      <c r="E44" t="s">
        <v>41</v>
      </c>
      <c r="F44" t="s">
        <v>41</v>
      </c>
      <c r="G44" t="s">
        <v>42</v>
      </c>
    </row>
    <row r="45" spans="1:7">
      <c r="A45">
        <v>68</v>
      </c>
      <c r="B45" t="s">
        <v>1154</v>
      </c>
      <c r="C45" t="s">
        <v>1155</v>
      </c>
      <c r="D45" t="s">
        <v>1101</v>
      </c>
      <c r="E45" t="s">
        <v>132</v>
      </c>
      <c r="F45" t="s">
        <v>132</v>
      </c>
      <c r="G45" t="s">
        <v>51</v>
      </c>
    </row>
    <row r="46" spans="1:7">
      <c r="A46">
        <v>240</v>
      </c>
      <c r="B46" t="s">
        <v>1154</v>
      </c>
      <c r="C46" t="s">
        <v>1156</v>
      </c>
      <c r="D46" t="s">
        <v>1113</v>
      </c>
      <c r="E46" t="s">
        <v>62</v>
      </c>
      <c r="F46" t="s">
        <v>62</v>
      </c>
      <c r="G46" t="s">
        <v>42</v>
      </c>
    </row>
    <row r="47" spans="1:7">
      <c r="A47">
        <v>156</v>
      </c>
      <c r="B47" t="s">
        <v>1157</v>
      </c>
      <c r="C47" t="s">
        <v>1158</v>
      </c>
      <c r="D47" t="s">
        <v>1092</v>
      </c>
      <c r="E47" t="s">
        <v>223</v>
      </c>
      <c r="F47" t="s">
        <v>223</v>
      </c>
      <c r="G47" t="s">
        <v>51</v>
      </c>
    </row>
    <row r="48" spans="1:7">
      <c r="A48">
        <v>182</v>
      </c>
      <c r="B48" t="s">
        <v>1159</v>
      </c>
      <c r="C48" t="s">
        <v>1160</v>
      </c>
      <c r="D48" t="s">
        <v>1161</v>
      </c>
      <c r="E48" t="s">
        <v>97</v>
      </c>
      <c r="F48" t="s">
        <v>97</v>
      </c>
      <c r="G48" t="s">
        <v>42</v>
      </c>
    </row>
    <row r="49" spans="1:7">
      <c r="A49">
        <v>115</v>
      </c>
      <c r="B49" t="s">
        <v>1159</v>
      </c>
      <c r="C49" t="s">
        <v>1162</v>
      </c>
      <c r="D49" t="s">
        <v>1161</v>
      </c>
      <c r="E49" t="s">
        <v>97</v>
      </c>
      <c r="F49" t="s">
        <v>97</v>
      </c>
      <c r="G49" t="s">
        <v>42</v>
      </c>
    </row>
    <row r="50" spans="1:7">
      <c r="A50">
        <v>193</v>
      </c>
      <c r="B50" t="s">
        <v>1159</v>
      </c>
      <c r="C50" t="s">
        <v>402</v>
      </c>
      <c r="D50" t="s">
        <v>1117</v>
      </c>
      <c r="E50" t="s">
        <v>57</v>
      </c>
      <c r="F50" t="s">
        <v>57</v>
      </c>
      <c r="G50" t="s">
        <v>51</v>
      </c>
    </row>
    <row r="51" spans="1:7">
      <c r="A51">
        <v>199</v>
      </c>
      <c r="B51" t="s">
        <v>1163</v>
      </c>
      <c r="C51" t="s">
        <v>1164</v>
      </c>
      <c r="D51" t="s">
        <v>1165</v>
      </c>
      <c r="E51" t="s">
        <v>68</v>
      </c>
      <c r="F51" t="s">
        <v>68</v>
      </c>
      <c r="G51" t="s">
        <v>42</v>
      </c>
    </row>
    <row r="52" spans="1:7">
      <c r="A52">
        <v>249</v>
      </c>
      <c r="B52" t="s">
        <v>1163</v>
      </c>
      <c r="C52" t="s">
        <v>1166</v>
      </c>
      <c r="D52" t="s">
        <v>1103</v>
      </c>
      <c r="E52" t="s">
        <v>50</v>
      </c>
      <c r="F52" t="s">
        <v>50</v>
      </c>
      <c r="G52" t="s">
        <v>51</v>
      </c>
    </row>
    <row r="53" spans="1:7">
      <c r="A53">
        <v>42</v>
      </c>
      <c r="B53" t="s">
        <v>1167</v>
      </c>
      <c r="C53" t="s">
        <v>1168</v>
      </c>
      <c r="D53" t="s">
        <v>1095</v>
      </c>
      <c r="E53" t="s">
        <v>336</v>
      </c>
      <c r="F53" t="s">
        <v>336</v>
      </c>
      <c r="G53" t="s">
        <v>76</v>
      </c>
    </row>
    <row r="54" spans="1:7">
      <c r="A54">
        <v>56</v>
      </c>
      <c r="B54" t="s">
        <v>1167</v>
      </c>
      <c r="C54" t="s">
        <v>1169</v>
      </c>
      <c r="D54" t="s">
        <v>1117</v>
      </c>
      <c r="E54" t="s">
        <v>57</v>
      </c>
      <c r="F54" t="s">
        <v>57</v>
      </c>
      <c r="G54" t="s">
        <v>51</v>
      </c>
    </row>
    <row r="55" spans="1:7">
      <c r="A55">
        <v>133</v>
      </c>
      <c r="B55" t="s">
        <v>1167</v>
      </c>
      <c r="C55" t="s">
        <v>1170</v>
      </c>
      <c r="D55" t="s">
        <v>1101</v>
      </c>
      <c r="E55" t="s">
        <v>132</v>
      </c>
      <c r="F55" t="s">
        <v>132</v>
      </c>
      <c r="G55" t="s">
        <v>51</v>
      </c>
    </row>
    <row r="56" spans="1:7">
      <c r="A56">
        <v>149</v>
      </c>
      <c r="B56" t="s">
        <v>1171</v>
      </c>
      <c r="C56" t="s">
        <v>257</v>
      </c>
      <c r="D56" t="s">
        <v>1089</v>
      </c>
      <c r="E56" t="s">
        <v>210</v>
      </c>
      <c r="F56" t="s">
        <v>210</v>
      </c>
      <c r="G56" t="s">
        <v>42</v>
      </c>
    </row>
    <row r="57" spans="1:7">
      <c r="A57">
        <v>264</v>
      </c>
      <c r="B57" t="s">
        <v>1172</v>
      </c>
      <c r="C57" t="s">
        <v>1173</v>
      </c>
      <c r="D57" t="s">
        <v>1097</v>
      </c>
      <c r="E57" t="s">
        <v>75</v>
      </c>
      <c r="F57" t="s">
        <v>75</v>
      </c>
      <c r="G57" t="s">
        <v>76</v>
      </c>
    </row>
    <row r="58" spans="1:7">
      <c r="A58">
        <v>195</v>
      </c>
      <c r="B58" t="s">
        <v>1174</v>
      </c>
      <c r="C58" t="s">
        <v>167</v>
      </c>
      <c r="D58" t="s">
        <v>1103</v>
      </c>
      <c r="E58" t="s">
        <v>50</v>
      </c>
      <c r="F58" t="s">
        <v>50</v>
      </c>
      <c r="G58" t="s">
        <v>51</v>
      </c>
    </row>
    <row r="59" spans="1:7">
      <c r="A59">
        <v>237</v>
      </c>
      <c r="B59" t="s">
        <v>1174</v>
      </c>
      <c r="C59" t="s">
        <v>1175</v>
      </c>
      <c r="D59" t="s">
        <v>1101</v>
      </c>
      <c r="E59" t="s">
        <v>132</v>
      </c>
      <c r="F59" t="s">
        <v>132</v>
      </c>
      <c r="G59" t="s">
        <v>51</v>
      </c>
    </row>
    <row r="60" spans="1:7">
      <c r="A60">
        <v>143</v>
      </c>
      <c r="B60" t="s">
        <v>1174</v>
      </c>
      <c r="C60" t="s">
        <v>1176</v>
      </c>
      <c r="D60" t="s">
        <v>1101</v>
      </c>
      <c r="E60" t="s">
        <v>132</v>
      </c>
      <c r="F60" t="s">
        <v>132</v>
      </c>
      <c r="G60" t="s">
        <v>51</v>
      </c>
    </row>
    <row r="61" spans="1:7">
      <c r="A61">
        <v>99</v>
      </c>
      <c r="B61" t="s">
        <v>1174</v>
      </c>
      <c r="C61" t="s">
        <v>1177</v>
      </c>
      <c r="D61" t="s">
        <v>1101</v>
      </c>
      <c r="E61" t="s">
        <v>132</v>
      </c>
      <c r="F61" t="s">
        <v>132</v>
      </c>
      <c r="G61" t="s">
        <v>51</v>
      </c>
    </row>
    <row r="62" spans="1:7">
      <c r="A62">
        <v>176</v>
      </c>
      <c r="B62" t="s">
        <v>1174</v>
      </c>
      <c r="C62" t="s">
        <v>1178</v>
      </c>
      <c r="D62" t="s">
        <v>1101</v>
      </c>
      <c r="E62" t="s">
        <v>132</v>
      </c>
      <c r="F62" t="s">
        <v>132</v>
      </c>
      <c r="G62" t="s">
        <v>51</v>
      </c>
    </row>
    <row r="63" spans="1:7">
      <c r="A63">
        <v>218</v>
      </c>
      <c r="B63" t="s">
        <v>1174</v>
      </c>
      <c r="C63" t="s">
        <v>1179</v>
      </c>
      <c r="D63" t="s">
        <v>1101</v>
      </c>
      <c r="E63" t="s">
        <v>132</v>
      </c>
      <c r="F63" t="s">
        <v>132</v>
      </c>
      <c r="G63" t="s">
        <v>51</v>
      </c>
    </row>
    <row r="64" spans="1:7">
      <c r="A64">
        <v>178</v>
      </c>
      <c r="B64" t="s">
        <v>1174</v>
      </c>
      <c r="C64" t="s">
        <v>1180</v>
      </c>
      <c r="D64" t="s">
        <v>1101</v>
      </c>
      <c r="E64" t="s">
        <v>132</v>
      </c>
      <c r="F64" t="s">
        <v>132</v>
      </c>
      <c r="G64" t="s">
        <v>51</v>
      </c>
    </row>
    <row r="65" spans="1:7">
      <c r="A65">
        <v>116</v>
      </c>
      <c r="B65" t="s">
        <v>1181</v>
      </c>
      <c r="C65" t="s">
        <v>200</v>
      </c>
      <c r="D65" t="s">
        <v>1097</v>
      </c>
      <c r="E65" t="s">
        <v>75</v>
      </c>
      <c r="F65" t="s">
        <v>75</v>
      </c>
      <c r="G65" t="s">
        <v>76</v>
      </c>
    </row>
    <row r="66" spans="1:7">
      <c r="A66">
        <v>253</v>
      </c>
      <c r="B66" t="s">
        <v>1181</v>
      </c>
      <c r="C66" t="s">
        <v>1182</v>
      </c>
      <c r="D66" t="s">
        <v>1161</v>
      </c>
      <c r="E66" t="s">
        <v>97</v>
      </c>
      <c r="F66" t="s">
        <v>97</v>
      </c>
      <c r="G66" t="s">
        <v>42</v>
      </c>
    </row>
    <row r="67" spans="1:7">
      <c r="A67">
        <v>23</v>
      </c>
      <c r="B67" t="s">
        <v>1120</v>
      </c>
      <c r="C67" t="s">
        <v>154</v>
      </c>
      <c r="D67" t="s">
        <v>1120</v>
      </c>
      <c r="E67" t="s">
        <v>154</v>
      </c>
      <c r="F67" t="s">
        <v>154</v>
      </c>
      <c r="G67" t="s">
        <v>51</v>
      </c>
    </row>
    <row r="68" spans="1:7">
      <c r="A68">
        <v>33</v>
      </c>
      <c r="B68" t="s">
        <v>1120</v>
      </c>
      <c r="C68" t="s">
        <v>633</v>
      </c>
      <c r="D68" t="s">
        <v>1103</v>
      </c>
      <c r="E68" t="s">
        <v>50</v>
      </c>
      <c r="F68" t="s">
        <v>50</v>
      </c>
      <c r="G68" t="s">
        <v>51</v>
      </c>
    </row>
    <row r="69" spans="1:7">
      <c r="A69">
        <v>50</v>
      </c>
      <c r="B69" t="s">
        <v>1183</v>
      </c>
      <c r="C69" t="s">
        <v>1184</v>
      </c>
      <c r="D69" t="s">
        <v>1097</v>
      </c>
      <c r="E69" t="s">
        <v>75</v>
      </c>
      <c r="F69" t="s">
        <v>75</v>
      </c>
      <c r="G69" t="s">
        <v>76</v>
      </c>
    </row>
    <row r="70" spans="1:7">
      <c r="A70">
        <v>72</v>
      </c>
      <c r="B70" t="s">
        <v>1185</v>
      </c>
      <c r="C70" t="s">
        <v>588</v>
      </c>
      <c r="D70" t="s">
        <v>1097</v>
      </c>
      <c r="E70" t="s">
        <v>75</v>
      </c>
      <c r="F70" t="s">
        <v>75</v>
      </c>
      <c r="G70" t="s">
        <v>76</v>
      </c>
    </row>
    <row r="71" spans="1:7">
      <c r="A71">
        <v>113</v>
      </c>
      <c r="B71" t="s">
        <v>1186</v>
      </c>
      <c r="C71" t="s">
        <v>409</v>
      </c>
      <c r="D71" t="s">
        <v>1103</v>
      </c>
      <c r="E71" t="s">
        <v>50</v>
      </c>
      <c r="F71" t="s">
        <v>50</v>
      </c>
      <c r="G71" t="s">
        <v>51</v>
      </c>
    </row>
    <row r="72" spans="1:7">
      <c r="A72">
        <v>225</v>
      </c>
      <c r="B72" t="s">
        <v>1186</v>
      </c>
      <c r="C72" t="s">
        <v>1187</v>
      </c>
      <c r="D72" t="s">
        <v>1103</v>
      </c>
      <c r="E72" t="s">
        <v>50</v>
      </c>
      <c r="F72" t="s">
        <v>50</v>
      </c>
      <c r="G72" t="s">
        <v>51</v>
      </c>
    </row>
    <row r="73" spans="1:7">
      <c r="A73">
        <v>12</v>
      </c>
      <c r="B73" t="s">
        <v>1188</v>
      </c>
      <c r="C73" t="s">
        <v>1189</v>
      </c>
      <c r="D73" t="s">
        <v>1161</v>
      </c>
      <c r="E73" t="s">
        <v>97</v>
      </c>
      <c r="F73" t="s">
        <v>97</v>
      </c>
      <c r="G73" t="s">
        <v>42</v>
      </c>
    </row>
    <row r="74" spans="1:7">
      <c r="A74">
        <v>41</v>
      </c>
      <c r="B74" t="s">
        <v>1188</v>
      </c>
      <c r="C74" t="s">
        <v>1190</v>
      </c>
      <c r="D74" t="s">
        <v>1095</v>
      </c>
      <c r="E74" t="s">
        <v>336</v>
      </c>
      <c r="F74" t="s">
        <v>336</v>
      </c>
      <c r="G74" t="s">
        <v>76</v>
      </c>
    </row>
    <row r="75" spans="1:7">
      <c r="A75">
        <v>80</v>
      </c>
      <c r="B75" t="s">
        <v>1191</v>
      </c>
      <c r="C75" t="s">
        <v>1192</v>
      </c>
      <c r="D75" t="s">
        <v>1092</v>
      </c>
      <c r="E75" t="s">
        <v>223</v>
      </c>
      <c r="F75" t="s">
        <v>223</v>
      </c>
      <c r="G75" t="s">
        <v>51</v>
      </c>
    </row>
    <row r="76" spans="1:7">
      <c r="A76">
        <v>74</v>
      </c>
      <c r="B76" t="s">
        <v>1097</v>
      </c>
      <c r="C76" t="s">
        <v>75</v>
      </c>
      <c r="D76" t="s">
        <v>1097</v>
      </c>
      <c r="E76" t="s">
        <v>75</v>
      </c>
      <c r="F76" t="s">
        <v>75</v>
      </c>
      <c r="G76" t="s">
        <v>76</v>
      </c>
    </row>
    <row r="77" spans="1:7">
      <c r="A77">
        <v>84</v>
      </c>
      <c r="B77" t="s">
        <v>1089</v>
      </c>
      <c r="C77" t="s">
        <v>210</v>
      </c>
      <c r="D77" t="s">
        <v>1089</v>
      </c>
      <c r="E77" t="s">
        <v>210</v>
      </c>
      <c r="F77" t="s">
        <v>210</v>
      </c>
      <c r="G77" t="s">
        <v>42</v>
      </c>
    </row>
    <row r="78" spans="1:7">
      <c r="A78">
        <v>75</v>
      </c>
      <c r="B78" t="s">
        <v>1193</v>
      </c>
      <c r="C78" t="s">
        <v>540</v>
      </c>
      <c r="D78" t="s">
        <v>1089</v>
      </c>
      <c r="E78" t="s">
        <v>210</v>
      </c>
      <c r="F78" t="s">
        <v>210</v>
      </c>
      <c r="G78" t="s">
        <v>42</v>
      </c>
    </row>
    <row r="79" spans="1:7">
      <c r="A79">
        <v>139</v>
      </c>
      <c r="B79" t="s">
        <v>1194</v>
      </c>
      <c r="C79" t="s">
        <v>1195</v>
      </c>
      <c r="D79" t="s">
        <v>1105</v>
      </c>
      <c r="E79" t="s">
        <v>192</v>
      </c>
      <c r="F79" t="s">
        <v>449</v>
      </c>
      <c r="G79" t="s">
        <v>76</v>
      </c>
    </row>
    <row r="80" spans="1:7">
      <c r="A80">
        <v>76</v>
      </c>
      <c r="B80" t="s">
        <v>1196</v>
      </c>
      <c r="C80" t="s">
        <v>335</v>
      </c>
      <c r="D80" t="s">
        <v>1095</v>
      </c>
      <c r="E80" t="s">
        <v>336</v>
      </c>
      <c r="F80" t="s">
        <v>336</v>
      </c>
      <c r="G80" t="s">
        <v>76</v>
      </c>
    </row>
    <row r="81" spans="1:7">
      <c r="A81">
        <v>188</v>
      </c>
      <c r="B81" t="s">
        <v>1197</v>
      </c>
      <c r="C81" t="s">
        <v>1198</v>
      </c>
      <c r="D81" t="s">
        <v>1153</v>
      </c>
      <c r="E81" t="s">
        <v>41</v>
      </c>
      <c r="F81" t="s">
        <v>41</v>
      </c>
      <c r="G81" t="s">
        <v>42</v>
      </c>
    </row>
    <row r="82" spans="1:7">
      <c r="A82">
        <v>134</v>
      </c>
      <c r="B82" t="s">
        <v>1199</v>
      </c>
      <c r="C82" t="s">
        <v>131</v>
      </c>
      <c r="D82" t="s">
        <v>1101</v>
      </c>
      <c r="E82" t="s">
        <v>132</v>
      </c>
      <c r="F82" t="s">
        <v>132</v>
      </c>
      <c r="G82" t="s">
        <v>51</v>
      </c>
    </row>
    <row r="83" spans="1:7">
      <c r="A83">
        <v>44</v>
      </c>
      <c r="B83" t="s">
        <v>1200</v>
      </c>
      <c r="C83" t="s">
        <v>1201</v>
      </c>
      <c r="D83" t="s">
        <v>1153</v>
      </c>
      <c r="E83" t="s">
        <v>41</v>
      </c>
      <c r="F83" t="s">
        <v>41</v>
      </c>
      <c r="G83" t="s">
        <v>42</v>
      </c>
    </row>
    <row r="84" spans="1:7">
      <c r="A84">
        <v>47</v>
      </c>
      <c r="B84" t="s">
        <v>1202</v>
      </c>
      <c r="C84" t="s">
        <v>191</v>
      </c>
      <c r="D84" t="s">
        <v>1105</v>
      </c>
      <c r="E84" t="s">
        <v>192</v>
      </c>
      <c r="F84" t="s">
        <v>449</v>
      </c>
      <c r="G84" t="s">
        <v>76</v>
      </c>
    </row>
    <row r="85" spans="1:7">
      <c r="A85">
        <v>19</v>
      </c>
      <c r="B85" t="s">
        <v>1203</v>
      </c>
      <c r="C85" t="s">
        <v>1204</v>
      </c>
      <c r="D85" t="s">
        <v>1117</v>
      </c>
      <c r="E85" t="s">
        <v>57</v>
      </c>
      <c r="F85" t="s">
        <v>57</v>
      </c>
      <c r="G85" t="s">
        <v>51</v>
      </c>
    </row>
    <row r="86" spans="1:7">
      <c r="A86">
        <v>184</v>
      </c>
      <c r="B86" t="s">
        <v>1205</v>
      </c>
      <c r="C86" t="s">
        <v>1206</v>
      </c>
      <c r="D86" t="s">
        <v>1092</v>
      </c>
      <c r="E86" t="s">
        <v>223</v>
      </c>
      <c r="F86" t="s">
        <v>57</v>
      </c>
      <c r="G86" t="s">
        <v>51</v>
      </c>
    </row>
    <row r="87" spans="1:7">
      <c r="A87">
        <v>169</v>
      </c>
      <c r="B87" t="s">
        <v>1207</v>
      </c>
      <c r="C87" t="s">
        <v>1208</v>
      </c>
      <c r="D87" t="s">
        <v>1092</v>
      </c>
      <c r="E87" t="s">
        <v>223</v>
      </c>
      <c r="F87" t="s">
        <v>223</v>
      </c>
      <c r="G87" t="s">
        <v>51</v>
      </c>
    </row>
    <row r="88" spans="1:7">
      <c r="A88">
        <v>214</v>
      </c>
      <c r="B88" t="s">
        <v>1207</v>
      </c>
      <c r="C88" t="s">
        <v>1209</v>
      </c>
      <c r="D88" t="s">
        <v>1101</v>
      </c>
      <c r="E88" t="s">
        <v>132</v>
      </c>
      <c r="F88" t="s">
        <v>132</v>
      </c>
      <c r="G88" t="s">
        <v>51</v>
      </c>
    </row>
    <row r="89" spans="1:7">
      <c r="A89">
        <v>52</v>
      </c>
      <c r="B89" t="s">
        <v>1105</v>
      </c>
      <c r="C89" t="s">
        <v>192</v>
      </c>
      <c r="D89" t="s">
        <v>1105</v>
      </c>
      <c r="E89" t="s">
        <v>192</v>
      </c>
      <c r="F89" t="s">
        <v>449</v>
      </c>
      <c r="G89" t="s">
        <v>76</v>
      </c>
    </row>
    <row r="90" spans="1:7">
      <c r="A90">
        <v>48</v>
      </c>
      <c r="B90" t="s">
        <v>1105</v>
      </c>
      <c r="C90" t="s">
        <v>1210</v>
      </c>
      <c r="D90" t="s">
        <v>1103</v>
      </c>
      <c r="E90" t="s">
        <v>50</v>
      </c>
      <c r="F90" t="s">
        <v>50</v>
      </c>
      <c r="G90" t="s">
        <v>51</v>
      </c>
    </row>
    <row r="91" spans="1:7">
      <c r="A91">
        <v>231</v>
      </c>
      <c r="B91" t="s">
        <v>1211</v>
      </c>
      <c r="C91" t="s">
        <v>1212</v>
      </c>
      <c r="D91" t="s">
        <v>1101</v>
      </c>
      <c r="E91" t="s">
        <v>132</v>
      </c>
      <c r="F91" t="s">
        <v>132</v>
      </c>
      <c r="G91" t="s">
        <v>51</v>
      </c>
    </row>
    <row r="92" spans="1:7">
      <c r="A92">
        <v>87</v>
      </c>
      <c r="B92" t="s">
        <v>1213</v>
      </c>
      <c r="C92" t="s">
        <v>91</v>
      </c>
      <c r="D92" t="s">
        <v>1103</v>
      </c>
      <c r="E92" t="s">
        <v>50</v>
      </c>
      <c r="F92" t="s">
        <v>50</v>
      </c>
      <c r="G92" t="s">
        <v>51</v>
      </c>
    </row>
    <row r="93" spans="1:7">
      <c r="A93">
        <v>112</v>
      </c>
      <c r="B93" t="s">
        <v>1213</v>
      </c>
      <c r="C93" t="s">
        <v>1214</v>
      </c>
      <c r="D93" t="s">
        <v>1103</v>
      </c>
      <c r="E93" t="s">
        <v>50</v>
      </c>
      <c r="F93" t="s">
        <v>50</v>
      </c>
      <c r="G93" t="s">
        <v>51</v>
      </c>
    </row>
    <row r="94" spans="1:7">
      <c r="A94">
        <v>77</v>
      </c>
      <c r="B94" t="s">
        <v>1213</v>
      </c>
      <c r="C94" t="s">
        <v>144</v>
      </c>
      <c r="D94" t="s">
        <v>1117</v>
      </c>
      <c r="E94" t="s">
        <v>57</v>
      </c>
      <c r="F94" t="s">
        <v>57</v>
      </c>
      <c r="G94" t="s">
        <v>51</v>
      </c>
    </row>
    <row r="95" spans="1:7">
      <c r="A95">
        <v>162</v>
      </c>
      <c r="B95" t="s">
        <v>1215</v>
      </c>
      <c r="C95" t="s">
        <v>1216</v>
      </c>
      <c r="D95" t="s">
        <v>1101</v>
      </c>
      <c r="E95" t="s">
        <v>132</v>
      </c>
      <c r="F95" t="s">
        <v>132</v>
      </c>
      <c r="G95" t="s">
        <v>51</v>
      </c>
    </row>
    <row r="96" spans="1:7">
      <c r="A96">
        <v>140</v>
      </c>
      <c r="B96" t="s">
        <v>1215</v>
      </c>
      <c r="C96" t="s">
        <v>1217</v>
      </c>
      <c r="D96" t="s">
        <v>1101</v>
      </c>
      <c r="E96" t="s">
        <v>132</v>
      </c>
      <c r="F96" t="s">
        <v>132</v>
      </c>
      <c r="G96" t="s">
        <v>51</v>
      </c>
    </row>
    <row r="97" spans="1:7">
      <c r="A97">
        <v>179</v>
      </c>
      <c r="B97" t="s">
        <v>1215</v>
      </c>
      <c r="C97" t="s">
        <v>1218</v>
      </c>
      <c r="D97" t="s">
        <v>1092</v>
      </c>
      <c r="E97" t="s">
        <v>223</v>
      </c>
      <c r="F97" t="s">
        <v>223</v>
      </c>
      <c r="G97" t="s">
        <v>51</v>
      </c>
    </row>
    <row r="98" spans="1:7">
      <c r="A98">
        <v>219</v>
      </c>
      <c r="B98" t="s">
        <v>1215</v>
      </c>
      <c r="C98" t="s">
        <v>1219</v>
      </c>
      <c r="D98" t="s">
        <v>1101</v>
      </c>
      <c r="E98" t="s">
        <v>132</v>
      </c>
      <c r="F98" t="s">
        <v>132</v>
      </c>
      <c r="G98" t="s">
        <v>51</v>
      </c>
    </row>
    <row r="99" spans="1:7">
      <c r="A99">
        <v>9</v>
      </c>
      <c r="B99" t="s">
        <v>1103</v>
      </c>
      <c r="C99" t="s">
        <v>50</v>
      </c>
      <c r="D99" t="s">
        <v>1103</v>
      </c>
      <c r="E99" t="s">
        <v>50</v>
      </c>
      <c r="F99" t="s">
        <v>50</v>
      </c>
      <c r="G99" t="s">
        <v>51</v>
      </c>
    </row>
    <row r="100" spans="1:7">
      <c r="A100">
        <v>3</v>
      </c>
      <c r="B100" t="s">
        <v>1095</v>
      </c>
      <c r="C100" t="s">
        <v>336</v>
      </c>
      <c r="D100" t="s">
        <v>1095</v>
      </c>
      <c r="E100" t="s">
        <v>336</v>
      </c>
      <c r="F100" t="s">
        <v>336</v>
      </c>
      <c r="G100" t="s">
        <v>76</v>
      </c>
    </row>
    <row r="101" spans="1:7">
      <c r="A101">
        <v>275</v>
      </c>
      <c r="B101" t="s">
        <v>1220</v>
      </c>
      <c r="C101" t="s">
        <v>1221</v>
      </c>
      <c r="D101" t="s">
        <v>1105</v>
      </c>
      <c r="E101" t="s">
        <v>192</v>
      </c>
      <c r="F101" t="s">
        <v>336</v>
      </c>
      <c r="G101" t="s">
        <v>76</v>
      </c>
    </row>
    <row r="102" spans="1:7">
      <c r="A102">
        <v>250</v>
      </c>
      <c r="B102" t="s">
        <v>1222</v>
      </c>
      <c r="C102" t="s">
        <v>1223</v>
      </c>
      <c r="D102" t="s">
        <v>1153</v>
      </c>
      <c r="E102" t="s">
        <v>41</v>
      </c>
      <c r="F102" t="s">
        <v>41</v>
      </c>
      <c r="G102" t="s">
        <v>42</v>
      </c>
    </row>
    <row r="103" spans="1:7">
      <c r="A103">
        <v>78</v>
      </c>
      <c r="B103" t="s">
        <v>1224</v>
      </c>
      <c r="C103" t="s">
        <v>1225</v>
      </c>
      <c r="D103" t="s">
        <v>1103</v>
      </c>
      <c r="E103" t="s">
        <v>50</v>
      </c>
      <c r="F103" t="s">
        <v>50</v>
      </c>
      <c r="G103" t="s">
        <v>51</v>
      </c>
    </row>
    <row r="104" spans="1:7">
      <c r="A104">
        <v>81</v>
      </c>
      <c r="B104" t="s">
        <v>1224</v>
      </c>
      <c r="C104" t="s">
        <v>1226</v>
      </c>
      <c r="D104" t="s">
        <v>1101</v>
      </c>
      <c r="E104" t="s">
        <v>132</v>
      </c>
      <c r="F104" t="s">
        <v>132</v>
      </c>
      <c r="G104" t="s">
        <v>51</v>
      </c>
    </row>
    <row r="105" spans="1:7">
      <c r="A105">
        <v>79</v>
      </c>
      <c r="B105" t="s">
        <v>1224</v>
      </c>
      <c r="C105" t="s">
        <v>376</v>
      </c>
      <c r="D105" t="s">
        <v>1103</v>
      </c>
      <c r="E105" t="s">
        <v>50</v>
      </c>
      <c r="F105" t="s">
        <v>50</v>
      </c>
      <c r="G105" t="s">
        <v>51</v>
      </c>
    </row>
    <row r="106" spans="1:7">
      <c r="A106">
        <v>24</v>
      </c>
      <c r="B106" t="s">
        <v>1224</v>
      </c>
      <c r="C106" t="s">
        <v>1227</v>
      </c>
      <c r="D106" t="s">
        <v>1103</v>
      </c>
      <c r="E106" t="s">
        <v>50</v>
      </c>
      <c r="F106" t="s">
        <v>50</v>
      </c>
      <c r="G106" t="s">
        <v>51</v>
      </c>
    </row>
    <row r="107" spans="1:7">
      <c r="A107">
        <v>144</v>
      </c>
      <c r="B107" t="s">
        <v>1224</v>
      </c>
      <c r="C107" t="s">
        <v>1228</v>
      </c>
      <c r="D107" t="s">
        <v>1101</v>
      </c>
      <c r="E107" t="s">
        <v>132</v>
      </c>
      <c r="F107" t="s">
        <v>132</v>
      </c>
      <c r="G107" t="s">
        <v>51</v>
      </c>
    </row>
    <row r="108" spans="1:7">
      <c r="A108">
        <v>160</v>
      </c>
      <c r="B108" t="s">
        <v>1229</v>
      </c>
      <c r="C108" t="s">
        <v>1230</v>
      </c>
      <c r="D108" t="s">
        <v>1117</v>
      </c>
      <c r="E108" t="s">
        <v>57</v>
      </c>
      <c r="F108" t="s">
        <v>57</v>
      </c>
      <c r="G108" t="s">
        <v>51</v>
      </c>
    </row>
    <row r="109" spans="1:7">
      <c r="A109">
        <v>186</v>
      </c>
      <c r="B109" t="s">
        <v>1231</v>
      </c>
      <c r="C109" t="s">
        <v>1232</v>
      </c>
      <c r="D109" t="s">
        <v>1116</v>
      </c>
      <c r="E109" t="s">
        <v>177</v>
      </c>
      <c r="F109" t="s">
        <v>177</v>
      </c>
      <c r="G109" t="s">
        <v>76</v>
      </c>
    </row>
    <row r="110" spans="1:7">
      <c r="A110">
        <v>154</v>
      </c>
      <c r="B110" t="s">
        <v>1233</v>
      </c>
      <c r="C110" t="s">
        <v>1234</v>
      </c>
      <c r="D110" t="s">
        <v>1120</v>
      </c>
      <c r="E110" t="s">
        <v>154</v>
      </c>
      <c r="F110" t="s">
        <v>154</v>
      </c>
      <c r="G110" t="s">
        <v>51</v>
      </c>
    </row>
    <row r="111" spans="1:7">
      <c r="A111">
        <v>228</v>
      </c>
      <c r="B111" t="s">
        <v>1235</v>
      </c>
      <c r="C111" t="s">
        <v>1236</v>
      </c>
      <c r="D111" t="s">
        <v>1101</v>
      </c>
      <c r="E111" t="s">
        <v>132</v>
      </c>
      <c r="F111" t="s">
        <v>132</v>
      </c>
      <c r="G111" t="s">
        <v>51</v>
      </c>
    </row>
    <row r="112" spans="1:7">
      <c r="A112">
        <v>220</v>
      </c>
      <c r="B112" t="s">
        <v>1237</v>
      </c>
      <c r="C112" t="s">
        <v>1238</v>
      </c>
      <c r="D112" t="s">
        <v>1101</v>
      </c>
      <c r="E112" t="s">
        <v>132</v>
      </c>
      <c r="F112" t="s">
        <v>132</v>
      </c>
      <c r="G112" t="s">
        <v>51</v>
      </c>
    </row>
    <row r="113" spans="1:7">
      <c r="A113">
        <v>73</v>
      </c>
      <c r="B113" t="s">
        <v>1237</v>
      </c>
      <c r="C113" t="s">
        <v>1239</v>
      </c>
      <c r="D113" t="s">
        <v>1161</v>
      </c>
      <c r="E113" t="s">
        <v>97</v>
      </c>
      <c r="F113" t="s">
        <v>97</v>
      </c>
      <c r="G113" t="s">
        <v>42</v>
      </c>
    </row>
    <row r="114" spans="1:7">
      <c r="A114">
        <v>242</v>
      </c>
      <c r="B114" t="s">
        <v>1237</v>
      </c>
      <c r="C114" t="s">
        <v>1240</v>
      </c>
      <c r="D114" t="s">
        <v>1097</v>
      </c>
      <c r="E114" t="s">
        <v>75</v>
      </c>
      <c r="F114" t="s">
        <v>75</v>
      </c>
      <c r="G114" t="s">
        <v>76</v>
      </c>
    </row>
    <row r="115" spans="1:7">
      <c r="A115">
        <v>266</v>
      </c>
      <c r="B115" t="s">
        <v>1237</v>
      </c>
      <c r="C115" t="s">
        <v>1241</v>
      </c>
      <c r="D115" t="s">
        <v>1116</v>
      </c>
      <c r="E115" t="s">
        <v>177</v>
      </c>
      <c r="F115" t="s">
        <v>177</v>
      </c>
      <c r="G115" t="s">
        <v>76</v>
      </c>
    </row>
    <row r="116" spans="1:7">
      <c r="A116">
        <v>196</v>
      </c>
      <c r="B116" t="s">
        <v>1237</v>
      </c>
      <c r="C116" t="s">
        <v>546</v>
      </c>
      <c r="D116" t="s">
        <v>1113</v>
      </c>
      <c r="E116" t="s">
        <v>62</v>
      </c>
      <c r="F116" t="s">
        <v>62</v>
      </c>
      <c r="G116" t="s">
        <v>42</v>
      </c>
    </row>
    <row r="117" spans="1:7">
      <c r="A117">
        <v>222</v>
      </c>
      <c r="B117" t="s">
        <v>1237</v>
      </c>
      <c r="C117" t="s">
        <v>1242</v>
      </c>
      <c r="D117" t="s">
        <v>1101</v>
      </c>
      <c r="E117" t="s">
        <v>132</v>
      </c>
      <c r="F117" t="s">
        <v>132</v>
      </c>
      <c r="G117" t="s">
        <v>51</v>
      </c>
    </row>
    <row r="118" spans="1:7">
      <c r="A118">
        <v>10</v>
      </c>
      <c r="B118" t="s">
        <v>1243</v>
      </c>
      <c r="C118" t="s">
        <v>1244</v>
      </c>
      <c r="D118" t="s">
        <v>1135</v>
      </c>
      <c r="E118" t="s">
        <v>186</v>
      </c>
      <c r="F118" t="s">
        <v>68</v>
      </c>
      <c r="G118" t="s">
        <v>42</v>
      </c>
    </row>
    <row r="119" spans="1:7">
      <c r="A119">
        <v>51</v>
      </c>
      <c r="B119" t="s">
        <v>1245</v>
      </c>
      <c r="C119" t="s">
        <v>1246</v>
      </c>
      <c r="D119" t="s">
        <v>1097</v>
      </c>
      <c r="E119" t="s">
        <v>75</v>
      </c>
      <c r="F119" t="s">
        <v>75</v>
      </c>
      <c r="G119" t="s">
        <v>76</v>
      </c>
    </row>
    <row r="120" spans="1:7">
      <c r="A120">
        <v>82</v>
      </c>
      <c r="B120" t="s">
        <v>1247</v>
      </c>
      <c r="C120" t="s">
        <v>1248</v>
      </c>
      <c r="D120" t="s">
        <v>1113</v>
      </c>
      <c r="E120" t="s">
        <v>62</v>
      </c>
      <c r="F120" t="s">
        <v>62</v>
      </c>
      <c r="G120" t="s">
        <v>42</v>
      </c>
    </row>
    <row r="121" spans="1:7">
      <c r="A121">
        <v>171</v>
      </c>
      <c r="B121" t="s">
        <v>1249</v>
      </c>
      <c r="C121" t="s">
        <v>1250</v>
      </c>
      <c r="D121" t="s">
        <v>1092</v>
      </c>
      <c r="E121" t="s">
        <v>223</v>
      </c>
      <c r="F121" t="s">
        <v>223</v>
      </c>
      <c r="G121" t="s">
        <v>51</v>
      </c>
    </row>
    <row r="122" spans="1:7">
      <c r="A122">
        <v>164</v>
      </c>
      <c r="B122" t="s">
        <v>1251</v>
      </c>
      <c r="C122" t="s">
        <v>1252</v>
      </c>
      <c r="D122" t="s">
        <v>1101</v>
      </c>
      <c r="E122" t="s">
        <v>132</v>
      </c>
      <c r="F122" t="s">
        <v>132</v>
      </c>
      <c r="G122" t="s">
        <v>51</v>
      </c>
    </row>
    <row r="123" spans="1:7">
      <c r="A123">
        <v>163</v>
      </c>
      <c r="B123" t="s">
        <v>1253</v>
      </c>
      <c r="C123" t="s">
        <v>1254</v>
      </c>
      <c r="D123" t="s">
        <v>1101</v>
      </c>
      <c r="E123" t="s">
        <v>132</v>
      </c>
      <c r="F123" t="s">
        <v>132</v>
      </c>
      <c r="G123" t="s">
        <v>51</v>
      </c>
    </row>
    <row r="124" spans="1:7">
      <c r="A124">
        <v>187</v>
      </c>
      <c r="B124" t="s">
        <v>1253</v>
      </c>
      <c r="C124" t="s">
        <v>1255</v>
      </c>
      <c r="D124" t="s">
        <v>1165</v>
      </c>
      <c r="E124" t="s">
        <v>68</v>
      </c>
      <c r="F124" t="s">
        <v>68</v>
      </c>
      <c r="G124" t="s">
        <v>42</v>
      </c>
    </row>
    <row r="125" spans="1:7">
      <c r="A125">
        <v>174</v>
      </c>
      <c r="B125" t="s">
        <v>1256</v>
      </c>
      <c r="C125" t="s">
        <v>1257</v>
      </c>
      <c r="D125" t="s">
        <v>1103</v>
      </c>
      <c r="E125" t="s">
        <v>50</v>
      </c>
      <c r="F125" t="s">
        <v>50</v>
      </c>
      <c r="G125" t="s">
        <v>51</v>
      </c>
    </row>
    <row r="126" spans="1:7">
      <c r="A126">
        <v>86</v>
      </c>
      <c r="B126" t="s">
        <v>1256</v>
      </c>
      <c r="C126" t="s">
        <v>209</v>
      </c>
      <c r="D126" t="s">
        <v>1089</v>
      </c>
      <c r="E126" t="s">
        <v>210</v>
      </c>
      <c r="F126" t="s">
        <v>210</v>
      </c>
      <c r="G126" t="s">
        <v>42</v>
      </c>
    </row>
    <row r="127" spans="1:7">
      <c r="A127">
        <v>118</v>
      </c>
      <c r="B127" t="s">
        <v>1256</v>
      </c>
      <c r="C127" t="s">
        <v>1258</v>
      </c>
      <c r="D127" t="s">
        <v>1105</v>
      </c>
      <c r="E127" t="s">
        <v>192</v>
      </c>
      <c r="F127" t="s">
        <v>449</v>
      </c>
      <c r="G127" t="s">
        <v>76</v>
      </c>
    </row>
    <row r="128" spans="1:7">
      <c r="A128">
        <v>185</v>
      </c>
      <c r="B128" t="s">
        <v>1256</v>
      </c>
      <c r="C128" t="s">
        <v>1259</v>
      </c>
      <c r="D128" t="s">
        <v>1120</v>
      </c>
      <c r="E128" t="s">
        <v>154</v>
      </c>
      <c r="F128" t="s">
        <v>154</v>
      </c>
      <c r="G128" t="s">
        <v>51</v>
      </c>
    </row>
    <row r="129" spans="1:7">
      <c r="A129">
        <v>256</v>
      </c>
      <c r="B129" t="s">
        <v>1260</v>
      </c>
      <c r="C129" t="s">
        <v>107</v>
      </c>
      <c r="D129" t="s">
        <v>1261</v>
      </c>
      <c r="E129" t="s">
        <v>108</v>
      </c>
      <c r="F129" t="s">
        <v>108</v>
      </c>
      <c r="G129" t="s">
        <v>42</v>
      </c>
    </row>
    <row r="130" spans="1:7">
      <c r="A130">
        <v>120</v>
      </c>
      <c r="B130" t="s">
        <v>1260</v>
      </c>
      <c r="C130" t="s">
        <v>1262</v>
      </c>
      <c r="D130" t="s">
        <v>1092</v>
      </c>
      <c r="E130" t="s">
        <v>223</v>
      </c>
      <c r="F130" t="s">
        <v>223</v>
      </c>
      <c r="G130" t="s">
        <v>51</v>
      </c>
    </row>
    <row r="131" spans="1:7">
      <c r="A131">
        <v>145</v>
      </c>
      <c r="B131" t="s">
        <v>1263</v>
      </c>
      <c r="C131" t="s">
        <v>380</v>
      </c>
      <c r="D131" t="s">
        <v>1101</v>
      </c>
      <c r="E131" t="s">
        <v>132</v>
      </c>
      <c r="F131" t="s">
        <v>132</v>
      </c>
      <c r="G131" t="s">
        <v>51</v>
      </c>
    </row>
    <row r="132" spans="1:7">
      <c r="A132">
        <v>268</v>
      </c>
      <c r="B132" t="s">
        <v>1264</v>
      </c>
      <c r="C132" t="s">
        <v>1265</v>
      </c>
      <c r="D132" t="s">
        <v>1097</v>
      </c>
      <c r="E132" t="s">
        <v>75</v>
      </c>
      <c r="F132" t="s">
        <v>75</v>
      </c>
      <c r="G132" t="s">
        <v>76</v>
      </c>
    </row>
    <row r="133" spans="1:7">
      <c r="A133">
        <v>106</v>
      </c>
      <c r="B133" t="s">
        <v>1266</v>
      </c>
      <c r="C133" t="s">
        <v>1267</v>
      </c>
      <c r="D133" t="s">
        <v>1105</v>
      </c>
      <c r="E133" t="s">
        <v>192</v>
      </c>
      <c r="F133" t="s">
        <v>449</v>
      </c>
      <c r="G133" t="s">
        <v>76</v>
      </c>
    </row>
    <row r="134" spans="1:7">
      <c r="A134">
        <v>7</v>
      </c>
      <c r="B134" t="s">
        <v>1135</v>
      </c>
      <c r="C134" t="s">
        <v>186</v>
      </c>
      <c r="D134" t="s">
        <v>1135</v>
      </c>
      <c r="E134" t="s">
        <v>186</v>
      </c>
      <c r="F134" t="s">
        <v>186</v>
      </c>
      <c r="G134" t="s">
        <v>42</v>
      </c>
    </row>
    <row r="135" spans="1:7">
      <c r="A135">
        <v>224</v>
      </c>
      <c r="B135" t="s">
        <v>1135</v>
      </c>
      <c r="C135" t="s">
        <v>1268</v>
      </c>
      <c r="D135" t="s">
        <v>1103</v>
      </c>
      <c r="E135" t="s">
        <v>50</v>
      </c>
      <c r="F135" t="s">
        <v>50</v>
      </c>
      <c r="G135" t="s">
        <v>51</v>
      </c>
    </row>
    <row r="136" spans="1:7">
      <c r="A136">
        <v>8</v>
      </c>
      <c r="B136" t="s">
        <v>1135</v>
      </c>
      <c r="C136" t="s">
        <v>1269</v>
      </c>
      <c r="D136" t="s">
        <v>1135</v>
      </c>
      <c r="E136" t="s">
        <v>186</v>
      </c>
      <c r="F136" t="s">
        <v>186</v>
      </c>
      <c r="G136" t="s">
        <v>42</v>
      </c>
    </row>
    <row r="137" spans="1:7">
      <c r="A137">
        <v>35</v>
      </c>
      <c r="B137" t="s">
        <v>1270</v>
      </c>
      <c r="C137" t="s">
        <v>234</v>
      </c>
      <c r="D137" t="s">
        <v>1261</v>
      </c>
      <c r="E137" t="s">
        <v>108</v>
      </c>
      <c r="F137" t="s">
        <v>108</v>
      </c>
      <c r="G137" t="s">
        <v>42</v>
      </c>
    </row>
    <row r="138" spans="1:7">
      <c r="A138">
        <v>85</v>
      </c>
      <c r="B138" t="s">
        <v>1270</v>
      </c>
      <c r="C138" t="s">
        <v>528</v>
      </c>
      <c r="D138" t="s">
        <v>1161</v>
      </c>
      <c r="E138" t="s">
        <v>97</v>
      </c>
      <c r="F138" t="s">
        <v>97</v>
      </c>
      <c r="G138" t="s">
        <v>42</v>
      </c>
    </row>
    <row r="139" spans="1:7">
      <c r="A139">
        <v>117</v>
      </c>
      <c r="B139" t="s">
        <v>1271</v>
      </c>
      <c r="C139" t="s">
        <v>1272</v>
      </c>
      <c r="D139" t="s">
        <v>1101</v>
      </c>
      <c r="E139" t="s">
        <v>132</v>
      </c>
      <c r="F139" t="s">
        <v>132</v>
      </c>
      <c r="G139" t="s">
        <v>51</v>
      </c>
    </row>
    <row r="140" spans="1:7">
      <c r="A140">
        <v>269</v>
      </c>
      <c r="B140" t="s">
        <v>1271</v>
      </c>
      <c r="C140" t="s">
        <v>1273</v>
      </c>
      <c r="D140" t="s">
        <v>1153</v>
      </c>
      <c r="E140" t="s">
        <v>41</v>
      </c>
      <c r="F140" t="s">
        <v>41</v>
      </c>
      <c r="G140" t="s">
        <v>42</v>
      </c>
    </row>
    <row r="141" spans="1:7">
      <c r="A141">
        <v>159</v>
      </c>
      <c r="B141" t="s">
        <v>1274</v>
      </c>
      <c r="C141" t="s">
        <v>1275</v>
      </c>
      <c r="D141" t="s">
        <v>1117</v>
      </c>
      <c r="E141" t="s">
        <v>57</v>
      </c>
      <c r="F141" t="s">
        <v>57</v>
      </c>
      <c r="G141" t="s">
        <v>51</v>
      </c>
    </row>
    <row r="142" spans="1:7">
      <c r="A142">
        <v>28</v>
      </c>
      <c r="B142" t="s">
        <v>1276</v>
      </c>
      <c r="C142" t="s">
        <v>502</v>
      </c>
      <c r="D142" t="s">
        <v>1097</v>
      </c>
      <c r="E142" t="s">
        <v>75</v>
      </c>
      <c r="F142" t="s">
        <v>75</v>
      </c>
      <c r="G142" t="s">
        <v>76</v>
      </c>
    </row>
    <row r="143" spans="1:7">
      <c r="A143">
        <v>90</v>
      </c>
      <c r="B143" t="s">
        <v>1277</v>
      </c>
      <c r="C143" t="s">
        <v>1278</v>
      </c>
      <c r="D143" t="s">
        <v>1092</v>
      </c>
      <c r="E143" t="s">
        <v>223</v>
      </c>
      <c r="F143" t="s">
        <v>223</v>
      </c>
      <c r="G143" t="s">
        <v>51</v>
      </c>
    </row>
    <row r="144" spans="1:7">
      <c r="A144">
        <v>60</v>
      </c>
      <c r="B144" t="s">
        <v>1279</v>
      </c>
      <c r="C144" t="s">
        <v>533</v>
      </c>
      <c r="D144" t="s">
        <v>1120</v>
      </c>
      <c r="E144" t="s">
        <v>154</v>
      </c>
      <c r="F144" t="s">
        <v>154</v>
      </c>
      <c r="G144" t="s">
        <v>51</v>
      </c>
    </row>
    <row r="145" spans="1:7">
      <c r="A145">
        <v>189</v>
      </c>
      <c r="B145" t="s">
        <v>1279</v>
      </c>
      <c r="C145" t="s">
        <v>1280</v>
      </c>
      <c r="D145" t="s">
        <v>1153</v>
      </c>
      <c r="E145" t="s">
        <v>41</v>
      </c>
      <c r="F145" t="s">
        <v>41</v>
      </c>
      <c r="G145" t="s">
        <v>42</v>
      </c>
    </row>
    <row r="146" spans="1:7">
      <c r="A146">
        <v>46</v>
      </c>
      <c r="B146" t="s">
        <v>1279</v>
      </c>
      <c r="C146" t="s">
        <v>1281</v>
      </c>
      <c r="D146" t="s">
        <v>1161</v>
      </c>
      <c r="E146" t="s">
        <v>97</v>
      </c>
      <c r="F146" t="s">
        <v>97</v>
      </c>
      <c r="G146" t="s">
        <v>42</v>
      </c>
    </row>
    <row r="147" spans="1:7">
      <c r="A147">
        <v>92</v>
      </c>
      <c r="B147" t="s">
        <v>1279</v>
      </c>
      <c r="C147" t="s">
        <v>611</v>
      </c>
      <c r="D147" t="s">
        <v>1113</v>
      </c>
      <c r="E147" t="s">
        <v>62</v>
      </c>
      <c r="F147" t="s">
        <v>62</v>
      </c>
      <c r="G147" t="s">
        <v>42</v>
      </c>
    </row>
    <row r="148" spans="1:7">
      <c r="A148">
        <v>20</v>
      </c>
      <c r="B148" t="s">
        <v>1279</v>
      </c>
      <c r="C148" t="s">
        <v>1282</v>
      </c>
      <c r="D148" t="s">
        <v>1097</v>
      </c>
      <c r="E148" t="s">
        <v>75</v>
      </c>
      <c r="F148" t="s">
        <v>75</v>
      </c>
      <c r="G148" t="s">
        <v>76</v>
      </c>
    </row>
    <row r="149" spans="1:7">
      <c r="A149">
        <v>57</v>
      </c>
      <c r="B149" t="s">
        <v>1279</v>
      </c>
      <c r="C149" t="s">
        <v>1283</v>
      </c>
      <c r="D149" t="s">
        <v>1117</v>
      </c>
      <c r="E149" t="s">
        <v>57</v>
      </c>
      <c r="F149" t="s">
        <v>57</v>
      </c>
      <c r="G149" t="s">
        <v>51</v>
      </c>
    </row>
    <row r="150" spans="1:7">
      <c r="A150">
        <v>236</v>
      </c>
      <c r="B150" t="s">
        <v>1279</v>
      </c>
      <c r="C150" t="s">
        <v>1284</v>
      </c>
      <c r="D150" t="s">
        <v>1116</v>
      </c>
      <c r="E150" t="s">
        <v>177</v>
      </c>
      <c r="F150" t="s">
        <v>177</v>
      </c>
      <c r="G150" t="s">
        <v>76</v>
      </c>
    </row>
    <row r="151" spans="1:7">
      <c r="A151">
        <v>252</v>
      </c>
      <c r="B151" t="s">
        <v>1279</v>
      </c>
      <c r="C151" t="s">
        <v>1285</v>
      </c>
      <c r="D151" t="s">
        <v>1113</v>
      </c>
      <c r="E151" t="s">
        <v>62</v>
      </c>
      <c r="F151" t="s">
        <v>62</v>
      </c>
      <c r="G151" t="s">
        <v>42</v>
      </c>
    </row>
    <row r="152" spans="1:7">
      <c r="A152">
        <v>190</v>
      </c>
      <c r="B152" t="s">
        <v>1279</v>
      </c>
      <c r="C152" t="s">
        <v>530</v>
      </c>
      <c r="D152" t="s">
        <v>1097</v>
      </c>
      <c r="E152" t="s">
        <v>75</v>
      </c>
      <c r="F152" t="s">
        <v>75</v>
      </c>
      <c r="G152" t="s">
        <v>76</v>
      </c>
    </row>
    <row r="153" spans="1:7">
      <c r="A153">
        <v>191</v>
      </c>
      <c r="B153" t="s">
        <v>1279</v>
      </c>
      <c r="C153" t="s">
        <v>1286</v>
      </c>
      <c r="D153" t="s">
        <v>1103</v>
      </c>
      <c r="E153" t="s">
        <v>50</v>
      </c>
      <c r="F153" t="s">
        <v>50</v>
      </c>
      <c r="G153" t="s">
        <v>51</v>
      </c>
    </row>
    <row r="154" spans="1:7">
      <c r="A154">
        <v>141</v>
      </c>
      <c r="B154" t="s">
        <v>1287</v>
      </c>
      <c r="C154" t="s">
        <v>1288</v>
      </c>
      <c r="D154" t="s">
        <v>1101</v>
      </c>
      <c r="E154" t="s">
        <v>132</v>
      </c>
      <c r="F154" t="s">
        <v>132</v>
      </c>
      <c r="G154" t="s">
        <v>51</v>
      </c>
    </row>
    <row r="155" spans="1:7">
      <c r="A155">
        <v>105</v>
      </c>
      <c r="B155" t="s">
        <v>1289</v>
      </c>
      <c r="C155" t="s">
        <v>1290</v>
      </c>
      <c r="D155" t="s">
        <v>1153</v>
      </c>
      <c r="E155" t="s">
        <v>41</v>
      </c>
      <c r="F155" t="s">
        <v>41</v>
      </c>
      <c r="G155" t="s">
        <v>42</v>
      </c>
    </row>
    <row r="156" spans="1:7">
      <c r="A156">
        <v>122</v>
      </c>
      <c r="B156" t="s">
        <v>1165</v>
      </c>
      <c r="C156" t="s">
        <v>68</v>
      </c>
      <c r="D156" t="s">
        <v>1165</v>
      </c>
      <c r="E156" t="s">
        <v>68</v>
      </c>
      <c r="F156" t="s">
        <v>68</v>
      </c>
      <c r="G156" t="s">
        <v>42</v>
      </c>
    </row>
    <row r="157" spans="1:7">
      <c r="A157">
        <v>155</v>
      </c>
      <c r="B157" t="s">
        <v>1165</v>
      </c>
      <c r="C157" t="s">
        <v>153</v>
      </c>
      <c r="D157" t="s">
        <v>1120</v>
      </c>
      <c r="E157" t="s">
        <v>154</v>
      </c>
      <c r="F157" t="s">
        <v>154</v>
      </c>
      <c r="G157" t="s">
        <v>51</v>
      </c>
    </row>
    <row r="158" spans="1:7">
      <c r="A158">
        <v>127</v>
      </c>
      <c r="B158" t="s">
        <v>1165</v>
      </c>
      <c r="C158" t="s">
        <v>222</v>
      </c>
      <c r="D158" t="s">
        <v>1092</v>
      </c>
      <c r="E158" t="s">
        <v>223</v>
      </c>
      <c r="F158" t="s">
        <v>223</v>
      </c>
      <c r="G158" t="s">
        <v>51</v>
      </c>
    </row>
    <row r="159" spans="1:7">
      <c r="A159">
        <v>29</v>
      </c>
      <c r="B159" t="s">
        <v>1165</v>
      </c>
      <c r="C159" t="s">
        <v>1291</v>
      </c>
      <c r="D159" t="s">
        <v>1116</v>
      </c>
      <c r="E159" t="s">
        <v>177</v>
      </c>
      <c r="F159" t="s">
        <v>177</v>
      </c>
      <c r="G159" t="s">
        <v>76</v>
      </c>
    </row>
    <row r="160" spans="1:7">
      <c r="A160">
        <v>13</v>
      </c>
      <c r="B160" t="s">
        <v>1161</v>
      </c>
      <c r="C160" t="s">
        <v>97</v>
      </c>
      <c r="D160" t="s">
        <v>1161</v>
      </c>
      <c r="E160" t="s">
        <v>97</v>
      </c>
      <c r="F160" t="s">
        <v>97</v>
      </c>
      <c r="G160" t="s">
        <v>42</v>
      </c>
    </row>
    <row r="161" spans="1:7">
      <c r="A161">
        <v>21</v>
      </c>
      <c r="B161" t="s">
        <v>1161</v>
      </c>
      <c r="C161" t="s">
        <v>176</v>
      </c>
      <c r="D161" t="s">
        <v>1116</v>
      </c>
      <c r="E161" t="s">
        <v>177</v>
      </c>
      <c r="F161" t="s">
        <v>177</v>
      </c>
      <c r="G161" t="s">
        <v>76</v>
      </c>
    </row>
    <row r="162" spans="1:7">
      <c r="A162">
        <v>136</v>
      </c>
      <c r="B162" t="s">
        <v>1292</v>
      </c>
      <c r="C162" t="s">
        <v>1293</v>
      </c>
      <c r="D162" t="s">
        <v>1120</v>
      </c>
      <c r="E162" t="s">
        <v>154</v>
      </c>
      <c r="F162" t="s">
        <v>154</v>
      </c>
      <c r="G162" t="s">
        <v>51</v>
      </c>
    </row>
    <row r="163" spans="1:7">
      <c r="A163">
        <v>135</v>
      </c>
      <c r="B163" t="s">
        <v>1294</v>
      </c>
      <c r="C163" t="s">
        <v>1295</v>
      </c>
      <c r="D163" t="s">
        <v>1101</v>
      </c>
      <c r="E163" t="s">
        <v>132</v>
      </c>
      <c r="F163" t="s">
        <v>132</v>
      </c>
      <c r="G163" t="s">
        <v>51</v>
      </c>
    </row>
    <row r="164" spans="1:7">
      <c r="A164">
        <v>15</v>
      </c>
      <c r="B164" t="s">
        <v>1294</v>
      </c>
      <c r="C164" t="s">
        <v>283</v>
      </c>
      <c r="D164" t="s">
        <v>1103</v>
      </c>
      <c r="E164" t="s">
        <v>50</v>
      </c>
      <c r="F164" t="s">
        <v>50</v>
      </c>
      <c r="G164" t="s">
        <v>51</v>
      </c>
    </row>
    <row r="165" spans="1:7">
      <c r="A165">
        <v>94</v>
      </c>
      <c r="B165" t="s">
        <v>1116</v>
      </c>
      <c r="C165" t="s">
        <v>177</v>
      </c>
      <c r="D165" t="s">
        <v>1116</v>
      </c>
      <c r="E165" t="s">
        <v>177</v>
      </c>
      <c r="F165" t="s">
        <v>177</v>
      </c>
      <c r="G165" t="s">
        <v>76</v>
      </c>
    </row>
    <row r="166" spans="1:7">
      <c r="A166">
        <v>121</v>
      </c>
      <c r="B166" t="s">
        <v>1116</v>
      </c>
      <c r="C166" t="s">
        <v>1296</v>
      </c>
      <c r="D166" t="s">
        <v>1103</v>
      </c>
      <c r="E166" t="s">
        <v>50</v>
      </c>
      <c r="F166" t="s">
        <v>50</v>
      </c>
      <c r="G166" t="s">
        <v>51</v>
      </c>
    </row>
    <row r="167" spans="1:7">
      <c r="A167">
        <v>111</v>
      </c>
      <c r="B167" t="s">
        <v>1297</v>
      </c>
      <c r="C167" t="s">
        <v>600</v>
      </c>
      <c r="D167" t="s">
        <v>1103</v>
      </c>
      <c r="E167" t="s">
        <v>50</v>
      </c>
      <c r="F167" t="s">
        <v>50</v>
      </c>
      <c r="G167" t="s">
        <v>51</v>
      </c>
    </row>
    <row r="168" spans="1:7">
      <c r="A168">
        <v>221</v>
      </c>
      <c r="B168" t="s">
        <v>1297</v>
      </c>
      <c r="C168" t="s">
        <v>1298</v>
      </c>
      <c r="D168" t="s">
        <v>1101</v>
      </c>
      <c r="E168" t="s">
        <v>132</v>
      </c>
      <c r="F168" t="s">
        <v>132</v>
      </c>
      <c r="G168" t="s">
        <v>51</v>
      </c>
    </row>
    <row r="169" spans="1:7">
      <c r="A169">
        <v>126</v>
      </c>
      <c r="B169" t="s">
        <v>1299</v>
      </c>
      <c r="C169" t="s">
        <v>1300</v>
      </c>
      <c r="D169" t="s">
        <v>1092</v>
      </c>
      <c r="E169" t="s">
        <v>223</v>
      </c>
      <c r="F169" t="s">
        <v>223</v>
      </c>
      <c r="G169" t="s">
        <v>51</v>
      </c>
    </row>
    <row r="170" spans="1:7">
      <c r="A170">
        <v>96</v>
      </c>
      <c r="B170" t="s">
        <v>1301</v>
      </c>
      <c r="C170" t="s">
        <v>316</v>
      </c>
      <c r="D170" t="s">
        <v>1261</v>
      </c>
      <c r="E170" t="s">
        <v>108</v>
      </c>
      <c r="F170" t="s">
        <v>108</v>
      </c>
      <c r="G170" t="s">
        <v>42</v>
      </c>
    </row>
    <row r="171" spans="1:7">
      <c r="A171">
        <v>53</v>
      </c>
      <c r="B171" t="s">
        <v>1302</v>
      </c>
      <c r="C171" t="s">
        <v>560</v>
      </c>
      <c r="D171" t="s">
        <v>1092</v>
      </c>
      <c r="E171" t="s">
        <v>223</v>
      </c>
      <c r="F171" t="s">
        <v>223</v>
      </c>
      <c r="G171" t="s">
        <v>51</v>
      </c>
    </row>
    <row r="172" spans="1:7">
      <c r="A172">
        <v>14</v>
      </c>
      <c r="B172" t="s">
        <v>1303</v>
      </c>
      <c r="C172" t="s">
        <v>126</v>
      </c>
      <c r="D172" t="s">
        <v>1161</v>
      </c>
      <c r="E172" t="s">
        <v>97</v>
      </c>
      <c r="F172" t="s">
        <v>97</v>
      </c>
      <c r="G172" t="s">
        <v>42</v>
      </c>
    </row>
    <row r="173" spans="1:7">
      <c r="A173">
        <v>183</v>
      </c>
      <c r="B173" t="s">
        <v>1261</v>
      </c>
      <c r="C173" t="s">
        <v>1304</v>
      </c>
      <c r="D173" t="s">
        <v>1092</v>
      </c>
      <c r="E173" t="s">
        <v>223</v>
      </c>
      <c r="F173" t="s">
        <v>223</v>
      </c>
      <c r="G173" t="s">
        <v>51</v>
      </c>
    </row>
    <row r="174" spans="1:7">
      <c r="A174">
        <v>27</v>
      </c>
      <c r="B174" t="s">
        <v>1261</v>
      </c>
      <c r="C174" t="s">
        <v>620</v>
      </c>
      <c r="D174" t="s">
        <v>1097</v>
      </c>
      <c r="E174" t="s">
        <v>75</v>
      </c>
      <c r="F174" t="s">
        <v>75</v>
      </c>
      <c r="G174" t="s">
        <v>76</v>
      </c>
    </row>
    <row r="175" spans="1:7">
      <c r="A175">
        <v>26</v>
      </c>
      <c r="B175" t="s">
        <v>1261</v>
      </c>
      <c r="C175" t="s">
        <v>108</v>
      </c>
      <c r="D175" t="s">
        <v>1261</v>
      </c>
      <c r="E175" t="s">
        <v>108</v>
      </c>
      <c r="F175" t="s">
        <v>108</v>
      </c>
      <c r="G175" t="s">
        <v>42</v>
      </c>
    </row>
    <row r="176" spans="1:7">
      <c r="A176">
        <v>101</v>
      </c>
      <c r="B176" t="s">
        <v>1153</v>
      </c>
      <c r="C176" t="s">
        <v>1305</v>
      </c>
      <c r="D176" t="s">
        <v>1097</v>
      </c>
      <c r="E176" t="s">
        <v>75</v>
      </c>
      <c r="F176" t="s">
        <v>75</v>
      </c>
      <c r="G176" t="s">
        <v>76</v>
      </c>
    </row>
    <row r="177" spans="1:7">
      <c r="A177">
        <v>137</v>
      </c>
      <c r="B177" t="s">
        <v>1153</v>
      </c>
      <c r="C177" t="s">
        <v>1306</v>
      </c>
      <c r="D177" t="s">
        <v>1117</v>
      </c>
      <c r="E177" t="s">
        <v>57</v>
      </c>
      <c r="F177" t="s">
        <v>57</v>
      </c>
      <c r="G177" t="s">
        <v>51</v>
      </c>
    </row>
    <row r="178" spans="1:7">
      <c r="A178">
        <v>1</v>
      </c>
      <c r="B178" t="s">
        <v>1153</v>
      </c>
      <c r="C178" t="s">
        <v>41</v>
      </c>
      <c r="D178" t="s">
        <v>1153</v>
      </c>
      <c r="E178" t="s">
        <v>41</v>
      </c>
      <c r="F178" t="s">
        <v>41</v>
      </c>
      <c r="G178" t="s">
        <v>42</v>
      </c>
    </row>
    <row r="179" spans="1:7">
      <c r="A179">
        <v>198</v>
      </c>
      <c r="B179" t="s">
        <v>1307</v>
      </c>
      <c r="C179" t="s">
        <v>1308</v>
      </c>
      <c r="D179" t="s">
        <v>1092</v>
      </c>
      <c r="E179" t="s">
        <v>223</v>
      </c>
      <c r="F179" t="s">
        <v>223</v>
      </c>
      <c r="G179" t="s">
        <v>51</v>
      </c>
    </row>
    <row r="180" spans="1:7">
      <c r="A180">
        <v>239</v>
      </c>
      <c r="B180" t="s">
        <v>1307</v>
      </c>
      <c r="C180" t="s">
        <v>1309</v>
      </c>
      <c r="D180" t="s">
        <v>1101</v>
      </c>
      <c r="E180" t="s">
        <v>132</v>
      </c>
      <c r="F180" t="s">
        <v>132</v>
      </c>
      <c r="G180" t="s">
        <v>51</v>
      </c>
    </row>
    <row r="181" spans="1:7">
      <c r="A181">
        <v>248</v>
      </c>
      <c r="B181" t="s">
        <v>1307</v>
      </c>
      <c r="C181" t="s">
        <v>1310</v>
      </c>
      <c r="D181" t="s">
        <v>1103</v>
      </c>
      <c r="E181" t="s">
        <v>50</v>
      </c>
      <c r="F181" t="s">
        <v>50</v>
      </c>
      <c r="G181" t="s">
        <v>51</v>
      </c>
    </row>
    <row r="182" spans="1:7">
      <c r="A182">
        <v>234</v>
      </c>
      <c r="B182" t="s">
        <v>1307</v>
      </c>
      <c r="C182" t="s">
        <v>1311</v>
      </c>
      <c r="D182" t="s">
        <v>1097</v>
      </c>
      <c r="E182" t="s">
        <v>75</v>
      </c>
      <c r="F182" t="s">
        <v>75</v>
      </c>
      <c r="G182" t="s">
        <v>76</v>
      </c>
    </row>
    <row r="183" spans="1:7">
      <c r="A183">
        <v>247</v>
      </c>
      <c r="B183" t="s">
        <v>1307</v>
      </c>
      <c r="C183" t="s">
        <v>1312</v>
      </c>
      <c r="D183" t="s">
        <v>1092</v>
      </c>
      <c r="E183" t="s">
        <v>223</v>
      </c>
      <c r="F183" t="s">
        <v>223</v>
      </c>
      <c r="G183" t="s">
        <v>51</v>
      </c>
    </row>
    <row r="184" spans="1:7">
      <c r="A184">
        <v>230</v>
      </c>
      <c r="B184" t="s">
        <v>1307</v>
      </c>
      <c r="C184" t="s">
        <v>1313</v>
      </c>
      <c r="D184" t="s">
        <v>1101</v>
      </c>
      <c r="E184" t="s">
        <v>132</v>
      </c>
      <c r="F184" t="s">
        <v>132</v>
      </c>
      <c r="G184" t="s">
        <v>51</v>
      </c>
    </row>
    <row r="185" spans="1:7">
      <c r="A185">
        <v>201</v>
      </c>
      <c r="B185" t="s">
        <v>1307</v>
      </c>
      <c r="C185" t="s">
        <v>1314</v>
      </c>
      <c r="D185" t="s">
        <v>1117</v>
      </c>
      <c r="E185" t="s">
        <v>57</v>
      </c>
      <c r="F185" t="s">
        <v>57</v>
      </c>
      <c r="G185" t="s">
        <v>51</v>
      </c>
    </row>
    <row r="186" spans="1:7">
      <c r="A186">
        <v>205</v>
      </c>
      <c r="B186" t="s">
        <v>1307</v>
      </c>
      <c r="C186" t="s">
        <v>1315</v>
      </c>
      <c r="D186" t="s">
        <v>1092</v>
      </c>
      <c r="E186" t="s">
        <v>223</v>
      </c>
      <c r="F186" t="s">
        <v>223</v>
      </c>
      <c r="G186" t="s">
        <v>51</v>
      </c>
    </row>
    <row r="187" spans="1:7">
      <c r="A187">
        <v>194</v>
      </c>
      <c r="B187" t="s">
        <v>1307</v>
      </c>
      <c r="C187" t="s">
        <v>1316</v>
      </c>
      <c r="D187" t="s">
        <v>1120</v>
      </c>
      <c r="E187" t="s">
        <v>154</v>
      </c>
      <c r="F187" t="s">
        <v>154</v>
      </c>
      <c r="G187" t="s">
        <v>51</v>
      </c>
    </row>
    <row r="188" spans="1:7">
      <c r="A188">
        <v>172</v>
      </c>
      <c r="B188" t="s">
        <v>1307</v>
      </c>
      <c r="C188" t="s">
        <v>1317</v>
      </c>
      <c r="D188" t="s">
        <v>1092</v>
      </c>
      <c r="E188" t="s">
        <v>223</v>
      </c>
      <c r="F188" t="s">
        <v>223</v>
      </c>
      <c r="G188" t="s">
        <v>51</v>
      </c>
    </row>
    <row r="189" spans="1:7">
      <c r="A189">
        <v>173</v>
      </c>
      <c r="B189" t="s">
        <v>1307</v>
      </c>
      <c r="C189" t="s">
        <v>1318</v>
      </c>
      <c r="D189" t="s">
        <v>1117</v>
      </c>
      <c r="E189" t="s">
        <v>57</v>
      </c>
      <c r="F189" t="s">
        <v>57</v>
      </c>
      <c r="G189" t="s">
        <v>51</v>
      </c>
    </row>
    <row r="190" spans="1:7">
      <c r="A190">
        <v>177</v>
      </c>
      <c r="B190" t="s">
        <v>1307</v>
      </c>
      <c r="C190" t="s">
        <v>1319</v>
      </c>
      <c r="D190" t="s">
        <v>1117</v>
      </c>
      <c r="E190" t="s">
        <v>57</v>
      </c>
      <c r="F190" t="s">
        <v>57</v>
      </c>
      <c r="G190" t="s">
        <v>51</v>
      </c>
    </row>
    <row r="191" spans="1:7">
      <c r="A191">
        <v>208</v>
      </c>
      <c r="B191" t="s">
        <v>1307</v>
      </c>
      <c r="C191" t="s">
        <v>1320</v>
      </c>
      <c r="D191" t="s">
        <v>1092</v>
      </c>
      <c r="E191" t="s">
        <v>223</v>
      </c>
      <c r="F191" t="s">
        <v>223</v>
      </c>
      <c r="G191" t="s">
        <v>51</v>
      </c>
    </row>
    <row r="192" spans="1:7">
      <c r="A192">
        <v>213</v>
      </c>
      <c r="B192" t="s">
        <v>1307</v>
      </c>
      <c r="C192" t="s">
        <v>1321</v>
      </c>
      <c r="D192" t="s">
        <v>1092</v>
      </c>
      <c r="E192" t="s">
        <v>223</v>
      </c>
      <c r="F192" t="s">
        <v>223</v>
      </c>
      <c r="G192" t="s">
        <v>51</v>
      </c>
    </row>
    <row r="193" spans="1:7">
      <c r="A193">
        <v>235</v>
      </c>
      <c r="B193" t="s">
        <v>1307</v>
      </c>
      <c r="C193" t="s">
        <v>1322</v>
      </c>
      <c r="D193" t="s">
        <v>1097</v>
      </c>
      <c r="E193" t="s">
        <v>75</v>
      </c>
      <c r="F193" t="s">
        <v>75</v>
      </c>
      <c r="G193" t="s">
        <v>76</v>
      </c>
    </row>
    <row r="194" spans="1:7">
      <c r="A194">
        <v>212</v>
      </c>
      <c r="B194" t="s">
        <v>1307</v>
      </c>
      <c r="C194" t="s">
        <v>1323</v>
      </c>
      <c r="D194" t="s">
        <v>1092</v>
      </c>
      <c r="E194" t="s">
        <v>223</v>
      </c>
      <c r="F194" t="s">
        <v>223</v>
      </c>
      <c r="G194" t="s">
        <v>51</v>
      </c>
    </row>
    <row r="195" spans="1:7">
      <c r="A195">
        <v>223</v>
      </c>
      <c r="B195" t="s">
        <v>1307</v>
      </c>
      <c r="C195" t="s">
        <v>1324</v>
      </c>
      <c r="D195" t="s">
        <v>1103</v>
      </c>
      <c r="E195" t="s">
        <v>50</v>
      </c>
      <c r="F195" t="s">
        <v>50</v>
      </c>
      <c r="G195" t="s">
        <v>51</v>
      </c>
    </row>
    <row r="196" spans="1:7">
      <c r="A196">
        <v>206</v>
      </c>
      <c r="B196" t="s">
        <v>1307</v>
      </c>
      <c r="C196" t="s">
        <v>1325</v>
      </c>
      <c r="D196" t="s">
        <v>1092</v>
      </c>
      <c r="E196" t="s">
        <v>223</v>
      </c>
      <c r="F196" t="s">
        <v>223</v>
      </c>
      <c r="G196" t="s">
        <v>51</v>
      </c>
    </row>
    <row r="197" spans="1:7">
      <c r="A197">
        <v>209</v>
      </c>
      <c r="B197" t="s">
        <v>1307</v>
      </c>
      <c r="C197" t="s">
        <v>1326</v>
      </c>
      <c r="D197" t="s">
        <v>1092</v>
      </c>
      <c r="E197" t="s">
        <v>223</v>
      </c>
      <c r="F197" t="s">
        <v>223</v>
      </c>
      <c r="G197" t="s">
        <v>51</v>
      </c>
    </row>
    <row r="198" spans="1:7">
      <c r="A198">
        <v>210</v>
      </c>
      <c r="B198" t="s">
        <v>1307</v>
      </c>
      <c r="C198" t="s">
        <v>1327</v>
      </c>
      <c r="D198" t="s">
        <v>1092</v>
      </c>
      <c r="E198" t="s">
        <v>223</v>
      </c>
      <c r="F198" t="s">
        <v>223</v>
      </c>
      <c r="G198" t="s">
        <v>51</v>
      </c>
    </row>
    <row r="199" spans="1:7">
      <c r="A199">
        <v>204</v>
      </c>
      <c r="B199" t="s">
        <v>1307</v>
      </c>
      <c r="C199" t="s">
        <v>1328</v>
      </c>
      <c r="D199" t="s">
        <v>1092</v>
      </c>
      <c r="E199" t="s">
        <v>223</v>
      </c>
      <c r="F199" t="s">
        <v>223</v>
      </c>
      <c r="G199" t="s">
        <v>51</v>
      </c>
    </row>
    <row r="200" spans="1:7">
      <c r="A200">
        <v>207</v>
      </c>
      <c r="B200" t="s">
        <v>1307</v>
      </c>
      <c r="C200" t="s">
        <v>1329</v>
      </c>
      <c r="D200" t="s">
        <v>1092</v>
      </c>
      <c r="E200" t="s">
        <v>223</v>
      </c>
      <c r="F200" t="s">
        <v>223</v>
      </c>
      <c r="G200" t="s">
        <v>51</v>
      </c>
    </row>
    <row r="201" spans="1:7">
      <c r="A201">
        <v>175</v>
      </c>
      <c r="B201" t="s">
        <v>1307</v>
      </c>
      <c r="C201" t="s">
        <v>1330</v>
      </c>
      <c r="D201" t="s">
        <v>1117</v>
      </c>
      <c r="E201" t="s">
        <v>57</v>
      </c>
      <c r="F201" t="s">
        <v>57</v>
      </c>
      <c r="G201" t="s">
        <v>51</v>
      </c>
    </row>
    <row r="202" spans="1:7">
      <c r="A202">
        <v>202</v>
      </c>
      <c r="B202" t="s">
        <v>1307</v>
      </c>
      <c r="C202" t="s">
        <v>1331</v>
      </c>
      <c r="D202" t="s">
        <v>1092</v>
      </c>
      <c r="E202" t="s">
        <v>223</v>
      </c>
      <c r="F202" t="s">
        <v>223</v>
      </c>
      <c r="G202" t="s">
        <v>51</v>
      </c>
    </row>
    <row r="203" spans="1:7">
      <c r="A203">
        <v>203</v>
      </c>
      <c r="B203" t="s">
        <v>1307</v>
      </c>
      <c r="C203" t="s">
        <v>1332</v>
      </c>
      <c r="D203" t="s">
        <v>1092</v>
      </c>
      <c r="E203" t="s">
        <v>223</v>
      </c>
      <c r="F203" t="s">
        <v>223</v>
      </c>
      <c r="G203" t="s">
        <v>51</v>
      </c>
    </row>
    <row r="204" spans="1:7">
      <c r="A204">
        <v>211</v>
      </c>
      <c r="B204" t="s">
        <v>1307</v>
      </c>
      <c r="C204" t="s">
        <v>1333</v>
      </c>
      <c r="D204" t="s">
        <v>1092</v>
      </c>
      <c r="E204" t="s">
        <v>223</v>
      </c>
      <c r="F204" t="s">
        <v>223</v>
      </c>
      <c r="G204" t="s">
        <v>51</v>
      </c>
    </row>
    <row r="205" spans="1:7">
      <c r="A205">
        <v>238</v>
      </c>
      <c r="B205" t="s">
        <v>1307</v>
      </c>
      <c r="C205" t="s">
        <v>1334</v>
      </c>
      <c r="D205" t="s">
        <v>1101</v>
      </c>
      <c r="E205" t="s">
        <v>132</v>
      </c>
      <c r="F205" t="s">
        <v>132</v>
      </c>
      <c r="G205" t="s">
        <v>51</v>
      </c>
    </row>
    <row r="206" spans="1:7">
      <c r="A206">
        <v>273</v>
      </c>
      <c r="B206" t="s">
        <v>1307</v>
      </c>
      <c r="C206" t="s">
        <v>1335</v>
      </c>
      <c r="D206" t="s">
        <v>1153</v>
      </c>
      <c r="E206" t="s">
        <v>41</v>
      </c>
      <c r="F206" t="s">
        <v>41</v>
      </c>
      <c r="G206" t="s">
        <v>42</v>
      </c>
    </row>
    <row r="207" spans="1:7">
      <c r="A207">
        <v>229</v>
      </c>
      <c r="B207" t="s">
        <v>1307</v>
      </c>
      <c r="C207" t="s">
        <v>1336</v>
      </c>
      <c r="D207" t="s">
        <v>1101</v>
      </c>
      <c r="E207" t="s">
        <v>132</v>
      </c>
      <c r="F207" t="s">
        <v>132</v>
      </c>
      <c r="G207" t="s">
        <v>51</v>
      </c>
    </row>
    <row r="208" spans="1:7">
      <c r="A208">
        <v>246</v>
      </c>
      <c r="B208" t="s">
        <v>1307</v>
      </c>
      <c r="C208" t="s">
        <v>1337</v>
      </c>
      <c r="D208" t="s">
        <v>1092</v>
      </c>
      <c r="E208" t="s">
        <v>223</v>
      </c>
      <c r="F208" t="s">
        <v>223</v>
      </c>
      <c r="G208" t="s">
        <v>51</v>
      </c>
    </row>
    <row r="209" spans="1:7">
      <c r="A209">
        <v>131</v>
      </c>
      <c r="B209" t="s">
        <v>1338</v>
      </c>
      <c r="C209" t="s">
        <v>1339</v>
      </c>
      <c r="D209" t="s">
        <v>1101</v>
      </c>
      <c r="E209" t="s">
        <v>132</v>
      </c>
      <c r="F209" t="s">
        <v>132</v>
      </c>
      <c r="G209" t="s">
        <v>51</v>
      </c>
    </row>
    <row r="210" spans="1:7">
      <c r="A210">
        <v>34</v>
      </c>
      <c r="B210" t="s">
        <v>1340</v>
      </c>
      <c r="C210" t="s">
        <v>1341</v>
      </c>
      <c r="D210" t="s">
        <v>1103</v>
      </c>
      <c r="E210" t="s">
        <v>50</v>
      </c>
      <c r="F210" t="s">
        <v>50</v>
      </c>
      <c r="G210" t="s">
        <v>51</v>
      </c>
    </row>
    <row r="211" spans="1:7">
      <c r="A211">
        <v>245</v>
      </c>
      <c r="B211" t="s">
        <v>1342</v>
      </c>
      <c r="C211" t="s">
        <v>1343</v>
      </c>
      <c r="D211" t="s">
        <v>1097</v>
      </c>
      <c r="E211" t="s">
        <v>75</v>
      </c>
      <c r="F211" t="s">
        <v>75</v>
      </c>
      <c r="G211" t="s">
        <v>76</v>
      </c>
    </row>
    <row r="212" spans="1:7">
      <c r="A212">
        <v>54</v>
      </c>
      <c r="B212" t="s">
        <v>1344</v>
      </c>
      <c r="C212" t="s">
        <v>243</v>
      </c>
      <c r="D212" t="s">
        <v>1161</v>
      </c>
      <c r="E212" t="s">
        <v>97</v>
      </c>
      <c r="F212" t="s">
        <v>97</v>
      </c>
      <c r="G212" t="s">
        <v>42</v>
      </c>
    </row>
    <row r="213" spans="1:7">
      <c r="A213">
        <v>95</v>
      </c>
      <c r="B213" t="s">
        <v>1345</v>
      </c>
      <c r="C213" t="s">
        <v>1346</v>
      </c>
      <c r="D213" t="s">
        <v>1095</v>
      </c>
      <c r="E213" t="s">
        <v>336</v>
      </c>
      <c r="F213" t="s">
        <v>336</v>
      </c>
      <c r="G213" t="s">
        <v>76</v>
      </c>
    </row>
    <row r="214" spans="1:7">
      <c r="A214">
        <v>227</v>
      </c>
      <c r="B214" t="s">
        <v>1347</v>
      </c>
      <c r="C214" t="s">
        <v>1348</v>
      </c>
      <c r="D214" t="s">
        <v>1103</v>
      </c>
      <c r="E214" t="s">
        <v>50</v>
      </c>
      <c r="F214" t="s">
        <v>50</v>
      </c>
      <c r="G214" t="s">
        <v>51</v>
      </c>
    </row>
    <row r="215" spans="1:7">
      <c r="A215">
        <v>258</v>
      </c>
      <c r="B215" t="s">
        <v>1349</v>
      </c>
      <c r="C215" t="s">
        <v>1350</v>
      </c>
      <c r="D215" t="s">
        <v>1116</v>
      </c>
      <c r="E215" t="s">
        <v>177</v>
      </c>
      <c r="F215" t="s">
        <v>177</v>
      </c>
      <c r="G215" t="s">
        <v>76</v>
      </c>
    </row>
    <row r="216" spans="1:7">
      <c r="A216">
        <v>124</v>
      </c>
      <c r="B216" t="s">
        <v>1351</v>
      </c>
      <c r="C216" t="s">
        <v>1352</v>
      </c>
      <c r="D216" t="s">
        <v>1092</v>
      </c>
      <c r="E216" t="s">
        <v>223</v>
      </c>
      <c r="F216" t="s">
        <v>223</v>
      </c>
      <c r="G216" t="s">
        <v>51</v>
      </c>
    </row>
    <row r="217" spans="1:7">
      <c r="A217">
        <v>168</v>
      </c>
      <c r="B217" t="s">
        <v>1353</v>
      </c>
      <c r="C217" t="s">
        <v>1354</v>
      </c>
      <c r="D217" t="s">
        <v>1092</v>
      </c>
      <c r="E217" t="s">
        <v>223</v>
      </c>
      <c r="F217" t="s">
        <v>223</v>
      </c>
      <c r="G217" t="s">
        <v>51</v>
      </c>
    </row>
    <row r="218" spans="1:7">
      <c r="A218">
        <v>263</v>
      </c>
      <c r="B218" t="s">
        <v>1355</v>
      </c>
      <c r="C218" t="s">
        <v>1356</v>
      </c>
      <c r="D218" t="s">
        <v>1097</v>
      </c>
      <c r="E218" t="s">
        <v>75</v>
      </c>
      <c r="F218" t="s">
        <v>75</v>
      </c>
      <c r="G218" t="s">
        <v>76</v>
      </c>
    </row>
    <row r="219" spans="1:7">
      <c r="A219">
        <v>31</v>
      </c>
      <c r="B219" t="s">
        <v>1355</v>
      </c>
      <c r="C219" t="s">
        <v>476</v>
      </c>
      <c r="D219" t="s">
        <v>1135</v>
      </c>
      <c r="E219" t="s">
        <v>186</v>
      </c>
      <c r="F219" t="s">
        <v>186</v>
      </c>
      <c r="G219" t="s">
        <v>42</v>
      </c>
    </row>
    <row r="220" spans="1:7">
      <c r="A220">
        <v>70</v>
      </c>
      <c r="B220" t="s">
        <v>1355</v>
      </c>
      <c r="C220" t="s">
        <v>81</v>
      </c>
      <c r="D220" t="s">
        <v>1113</v>
      </c>
      <c r="E220" t="s">
        <v>62</v>
      </c>
      <c r="F220" t="s">
        <v>68</v>
      </c>
      <c r="G220" t="s">
        <v>42</v>
      </c>
    </row>
    <row r="221" spans="1:7">
      <c r="A221">
        <v>226</v>
      </c>
      <c r="B221" t="s">
        <v>1357</v>
      </c>
      <c r="C221" t="s">
        <v>1358</v>
      </c>
      <c r="D221" t="s">
        <v>1161</v>
      </c>
      <c r="E221" t="s">
        <v>97</v>
      </c>
      <c r="F221" t="s">
        <v>97</v>
      </c>
      <c r="G221" t="s">
        <v>42</v>
      </c>
    </row>
    <row r="222" spans="1:7">
      <c r="A222">
        <v>232</v>
      </c>
      <c r="B222" t="s">
        <v>1359</v>
      </c>
      <c r="C222" t="s">
        <v>1360</v>
      </c>
      <c r="D222" t="s">
        <v>1105</v>
      </c>
      <c r="E222" t="s">
        <v>192</v>
      </c>
      <c r="F222" t="s">
        <v>449</v>
      </c>
      <c r="G222" t="s">
        <v>76</v>
      </c>
    </row>
    <row r="223" spans="1:7">
      <c r="A223">
        <v>132</v>
      </c>
      <c r="B223" t="s">
        <v>1361</v>
      </c>
      <c r="C223" t="s">
        <v>1362</v>
      </c>
      <c r="D223" t="s">
        <v>1101</v>
      </c>
      <c r="E223" t="s">
        <v>132</v>
      </c>
      <c r="F223" t="s">
        <v>132</v>
      </c>
      <c r="G223" t="s">
        <v>51</v>
      </c>
    </row>
    <row r="224" spans="1:7">
      <c r="A224">
        <v>107</v>
      </c>
      <c r="B224" t="s">
        <v>1363</v>
      </c>
      <c r="C224" t="s">
        <v>1364</v>
      </c>
      <c r="D224" t="s">
        <v>1105</v>
      </c>
      <c r="E224" t="s">
        <v>192</v>
      </c>
      <c r="F224" t="s">
        <v>449</v>
      </c>
      <c r="G224" t="s">
        <v>76</v>
      </c>
    </row>
    <row r="225" spans="1:7">
      <c r="A225">
        <v>241</v>
      </c>
      <c r="B225" t="s">
        <v>1363</v>
      </c>
      <c r="C225" t="s">
        <v>1365</v>
      </c>
      <c r="D225" t="s">
        <v>1097</v>
      </c>
      <c r="E225" t="s">
        <v>75</v>
      </c>
      <c r="F225" t="s">
        <v>75</v>
      </c>
      <c r="G225" t="s">
        <v>76</v>
      </c>
    </row>
    <row r="226" spans="1:7">
      <c r="A226">
        <v>58</v>
      </c>
      <c r="B226" t="s">
        <v>1363</v>
      </c>
      <c r="C226" t="s">
        <v>248</v>
      </c>
      <c r="D226" t="s">
        <v>1117</v>
      </c>
      <c r="E226" t="s">
        <v>57</v>
      </c>
      <c r="F226" t="s">
        <v>57</v>
      </c>
      <c r="G226" t="s">
        <v>51</v>
      </c>
    </row>
    <row r="227" spans="1:7">
      <c r="A227">
        <v>165</v>
      </c>
      <c r="B227" t="s">
        <v>1363</v>
      </c>
      <c r="C227" t="s">
        <v>1366</v>
      </c>
      <c r="D227" t="s">
        <v>1101</v>
      </c>
      <c r="E227" t="s">
        <v>132</v>
      </c>
      <c r="F227" t="s">
        <v>132</v>
      </c>
      <c r="G227" t="s">
        <v>51</v>
      </c>
    </row>
    <row r="228" spans="1:7">
      <c r="A228">
        <v>104</v>
      </c>
      <c r="B228" t="s">
        <v>1363</v>
      </c>
      <c r="C228" t="s">
        <v>1367</v>
      </c>
      <c r="D228" t="s">
        <v>1103</v>
      </c>
      <c r="E228" t="s">
        <v>50</v>
      </c>
      <c r="F228" t="s">
        <v>50</v>
      </c>
      <c r="G228" t="s">
        <v>51</v>
      </c>
    </row>
    <row r="229" spans="1:7">
      <c r="A229">
        <v>110</v>
      </c>
      <c r="B229" t="s">
        <v>1363</v>
      </c>
      <c r="C229" t="s">
        <v>137</v>
      </c>
      <c r="D229" t="s">
        <v>1153</v>
      </c>
      <c r="E229" t="s">
        <v>41</v>
      </c>
      <c r="F229" t="s">
        <v>41</v>
      </c>
      <c r="G229" t="s">
        <v>42</v>
      </c>
    </row>
    <row r="230" spans="1:7">
      <c r="A230">
        <v>152</v>
      </c>
      <c r="B230" t="s">
        <v>1363</v>
      </c>
      <c r="C230" t="s">
        <v>291</v>
      </c>
      <c r="D230" t="s">
        <v>1153</v>
      </c>
      <c r="E230" t="s">
        <v>41</v>
      </c>
      <c r="F230" t="s">
        <v>41</v>
      </c>
      <c r="G230" t="s">
        <v>42</v>
      </c>
    </row>
    <row r="231" spans="1:7">
      <c r="A231">
        <v>93</v>
      </c>
      <c r="B231" t="s">
        <v>1363</v>
      </c>
      <c r="C231" t="s">
        <v>1368</v>
      </c>
      <c r="D231" t="s">
        <v>1161</v>
      </c>
      <c r="E231" t="s">
        <v>97</v>
      </c>
      <c r="F231" t="s">
        <v>97</v>
      </c>
      <c r="G231" t="s">
        <v>42</v>
      </c>
    </row>
    <row r="232" spans="1:7">
      <c r="A232">
        <v>151</v>
      </c>
      <c r="B232" t="s">
        <v>1363</v>
      </c>
      <c r="C232" t="s">
        <v>1369</v>
      </c>
      <c r="D232" t="s">
        <v>1113</v>
      </c>
      <c r="E232" t="s">
        <v>62</v>
      </c>
      <c r="F232" t="s">
        <v>62</v>
      </c>
      <c r="G232" t="s">
        <v>42</v>
      </c>
    </row>
    <row r="233" spans="1:7">
      <c r="A233">
        <v>129</v>
      </c>
      <c r="B233" t="s">
        <v>1363</v>
      </c>
      <c r="C233" t="s">
        <v>1370</v>
      </c>
      <c r="D233" t="s">
        <v>1092</v>
      </c>
      <c r="E233" t="s">
        <v>223</v>
      </c>
      <c r="F233" t="s">
        <v>223</v>
      </c>
      <c r="G233" t="s">
        <v>51</v>
      </c>
    </row>
    <row r="234" spans="1:7">
      <c r="A234">
        <v>180</v>
      </c>
      <c r="B234" t="s">
        <v>1363</v>
      </c>
      <c r="C234" t="s">
        <v>1371</v>
      </c>
      <c r="D234" t="s">
        <v>1161</v>
      </c>
      <c r="E234" t="s">
        <v>97</v>
      </c>
      <c r="F234" t="s">
        <v>97</v>
      </c>
      <c r="G234" t="s">
        <v>42</v>
      </c>
    </row>
    <row r="235" spans="1:7">
      <c r="A235">
        <v>119</v>
      </c>
      <c r="B235" t="s">
        <v>1372</v>
      </c>
      <c r="C235" t="s">
        <v>361</v>
      </c>
      <c r="D235" t="s">
        <v>1092</v>
      </c>
      <c r="E235" t="s">
        <v>223</v>
      </c>
      <c r="F235" t="s">
        <v>223</v>
      </c>
      <c r="G235" t="s">
        <v>51</v>
      </c>
    </row>
    <row r="236" spans="1:7">
      <c r="A236">
        <v>257</v>
      </c>
      <c r="B236" t="s">
        <v>1372</v>
      </c>
      <c r="C236" t="s">
        <v>1373</v>
      </c>
      <c r="D236" t="s">
        <v>1261</v>
      </c>
      <c r="E236" t="s">
        <v>108</v>
      </c>
      <c r="F236" t="s">
        <v>108</v>
      </c>
      <c r="G236" t="s">
        <v>42</v>
      </c>
    </row>
    <row r="237" spans="1:7">
      <c r="A237">
        <v>251</v>
      </c>
      <c r="B237" t="s">
        <v>1372</v>
      </c>
      <c r="C237" t="s">
        <v>1374</v>
      </c>
      <c r="D237" t="s">
        <v>1153</v>
      </c>
      <c r="E237" t="s">
        <v>41</v>
      </c>
      <c r="F237" t="s">
        <v>41</v>
      </c>
      <c r="G237" t="s">
        <v>42</v>
      </c>
    </row>
    <row r="238" spans="1:7">
      <c r="A238">
        <v>161</v>
      </c>
      <c r="B238" t="s">
        <v>1372</v>
      </c>
      <c r="C238" t="s">
        <v>1375</v>
      </c>
      <c r="D238" t="s">
        <v>1101</v>
      </c>
      <c r="E238" t="s">
        <v>132</v>
      </c>
      <c r="F238" t="s">
        <v>132</v>
      </c>
      <c r="G238" t="s">
        <v>51</v>
      </c>
    </row>
    <row r="239" spans="1:7">
      <c r="A239">
        <v>255</v>
      </c>
      <c r="B239" t="s">
        <v>1372</v>
      </c>
      <c r="C239" t="s">
        <v>1376</v>
      </c>
      <c r="D239" t="s">
        <v>1092</v>
      </c>
      <c r="E239" t="s">
        <v>223</v>
      </c>
      <c r="F239" t="s">
        <v>223</v>
      </c>
      <c r="G239" t="s">
        <v>51</v>
      </c>
    </row>
    <row r="240" spans="1:7">
      <c r="A240">
        <v>262</v>
      </c>
      <c r="B240" t="s">
        <v>1372</v>
      </c>
      <c r="C240" t="s">
        <v>1377</v>
      </c>
      <c r="D240" t="s">
        <v>1105</v>
      </c>
      <c r="E240" t="s">
        <v>192</v>
      </c>
      <c r="F240" t="s">
        <v>449</v>
      </c>
      <c r="G240" t="s">
        <v>76</v>
      </c>
    </row>
    <row r="241" spans="1:7">
      <c r="A241">
        <v>181</v>
      </c>
      <c r="B241" t="s">
        <v>1372</v>
      </c>
      <c r="C241" t="s">
        <v>1378</v>
      </c>
      <c r="D241" t="s">
        <v>1101</v>
      </c>
      <c r="E241" t="s">
        <v>132</v>
      </c>
      <c r="F241" t="s">
        <v>132</v>
      </c>
      <c r="G241" t="s">
        <v>51</v>
      </c>
    </row>
    <row r="242" spans="1:7">
      <c r="A242">
        <v>103</v>
      </c>
      <c r="B242" t="s">
        <v>1372</v>
      </c>
      <c r="C242" t="s">
        <v>1379</v>
      </c>
      <c r="D242" t="s">
        <v>1101</v>
      </c>
      <c r="E242" t="s">
        <v>132</v>
      </c>
      <c r="F242" t="s">
        <v>132</v>
      </c>
      <c r="G242" t="s">
        <v>51</v>
      </c>
    </row>
    <row r="243" spans="1:7">
      <c r="A243">
        <v>125</v>
      </c>
      <c r="B243" t="s">
        <v>1372</v>
      </c>
      <c r="C243" t="s">
        <v>1380</v>
      </c>
      <c r="D243" t="s">
        <v>1092</v>
      </c>
      <c r="E243" t="s">
        <v>223</v>
      </c>
      <c r="F243" t="s">
        <v>223</v>
      </c>
      <c r="G243" t="s">
        <v>51</v>
      </c>
    </row>
    <row r="244" spans="1:7">
      <c r="A244">
        <v>200</v>
      </c>
      <c r="B244" t="s">
        <v>1372</v>
      </c>
      <c r="C244" t="s">
        <v>327</v>
      </c>
      <c r="D244" t="s">
        <v>1116</v>
      </c>
      <c r="E244" t="s">
        <v>177</v>
      </c>
      <c r="F244" t="s">
        <v>177</v>
      </c>
      <c r="G244" t="s">
        <v>76</v>
      </c>
    </row>
    <row r="245" spans="1:7">
      <c r="A245">
        <v>192</v>
      </c>
      <c r="B245" t="s">
        <v>1372</v>
      </c>
      <c r="C245" t="s">
        <v>1381</v>
      </c>
      <c r="D245" t="s">
        <v>1103</v>
      </c>
      <c r="E245" t="s">
        <v>50</v>
      </c>
      <c r="F245" t="s">
        <v>50</v>
      </c>
      <c r="G245" t="s">
        <v>51</v>
      </c>
    </row>
    <row r="246" spans="1:7">
      <c r="A246">
        <v>69</v>
      </c>
      <c r="B246" t="s">
        <v>1372</v>
      </c>
      <c r="C246" t="s">
        <v>1382</v>
      </c>
      <c r="D246" t="s">
        <v>1101</v>
      </c>
      <c r="E246" t="s">
        <v>132</v>
      </c>
      <c r="F246" t="s">
        <v>132</v>
      </c>
      <c r="G246" t="s">
        <v>51</v>
      </c>
    </row>
    <row r="247" spans="1:7">
      <c r="A247">
        <v>148</v>
      </c>
      <c r="B247" t="s">
        <v>1372</v>
      </c>
      <c r="C247" t="s">
        <v>262</v>
      </c>
      <c r="D247" t="s">
        <v>1116</v>
      </c>
      <c r="E247" t="s">
        <v>177</v>
      </c>
      <c r="F247" t="s">
        <v>177</v>
      </c>
      <c r="G247" t="s">
        <v>76</v>
      </c>
    </row>
    <row r="248" spans="1:7">
      <c r="A248">
        <v>259</v>
      </c>
      <c r="B248" t="s">
        <v>1383</v>
      </c>
      <c r="C248" t="s">
        <v>1384</v>
      </c>
      <c r="D248" t="s">
        <v>1116</v>
      </c>
      <c r="E248" t="s">
        <v>177</v>
      </c>
      <c r="F248" t="s">
        <v>177</v>
      </c>
      <c r="G248" t="s">
        <v>76</v>
      </c>
    </row>
    <row r="249" spans="1:7">
      <c r="A249">
        <v>43</v>
      </c>
      <c r="B249" t="s">
        <v>1385</v>
      </c>
      <c r="C249" t="s">
        <v>40</v>
      </c>
      <c r="D249" t="s">
        <v>1153</v>
      </c>
      <c r="E249" t="s">
        <v>41</v>
      </c>
      <c r="F249" t="s">
        <v>41</v>
      </c>
      <c r="G249" t="s">
        <v>42</v>
      </c>
    </row>
    <row r="250" spans="1:7">
      <c r="A250">
        <v>88</v>
      </c>
      <c r="B250" t="s">
        <v>1386</v>
      </c>
      <c r="C250" t="s">
        <v>1387</v>
      </c>
      <c r="D250" t="s">
        <v>1101</v>
      </c>
      <c r="E250" t="s">
        <v>132</v>
      </c>
      <c r="F250" t="s">
        <v>132</v>
      </c>
      <c r="G250" t="s">
        <v>51</v>
      </c>
    </row>
    <row r="251" spans="1:7">
      <c r="A251">
        <v>102</v>
      </c>
      <c r="B251" t="s">
        <v>1388</v>
      </c>
      <c r="C251" t="s">
        <v>1389</v>
      </c>
      <c r="D251" t="s">
        <v>1097</v>
      </c>
      <c r="E251" t="s">
        <v>75</v>
      </c>
      <c r="F251" t="s">
        <v>75</v>
      </c>
      <c r="G251" t="s">
        <v>76</v>
      </c>
    </row>
    <row r="252" spans="1:7">
      <c r="A252">
        <v>89</v>
      </c>
      <c r="B252" t="s">
        <v>1390</v>
      </c>
      <c r="C252" t="s">
        <v>1391</v>
      </c>
      <c r="D252" t="s">
        <v>1095</v>
      </c>
      <c r="E252" t="s">
        <v>336</v>
      </c>
      <c r="F252" t="s">
        <v>336</v>
      </c>
      <c r="G252" t="s">
        <v>76</v>
      </c>
    </row>
    <row r="253" spans="1:7">
      <c r="A253">
        <v>215</v>
      </c>
      <c r="B253" t="s">
        <v>1392</v>
      </c>
      <c r="C253" t="s">
        <v>1393</v>
      </c>
      <c r="D253" t="s">
        <v>1101</v>
      </c>
      <c r="E253" t="s">
        <v>132</v>
      </c>
      <c r="F253" t="s">
        <v>132</v>
      </c>
      <c r="G253" t="s">
        <v>51</v>
      </c>
    </row>
    <row r="254" spans="1:7">
      <c r="A254">
        <v>38</v>
      </c>
      <c r="B254" t="s">
        <v>1394</v>
      </c>
      <c r="C254" t="s">
        <v>564</v>
      </c>
      <c r="D254" t="s">
        <v>1097</v>
      </c>
      <c r="E254" t="s">
        <v>75</v>
      </c>
      <c r="F254" t="s">
        <v>75</v>
      </c>
      <c r="G254" t="s">
        <v>76</v>
      </c>
    </row>
    <row r="255" spans="1:7">
      <c r="A255">
        <v>147</v>
      </c>
      <c r="B255" t="s">
        <v>1395</v>
      </c>
      <c r="C255" t="s">
        <v>506</v>
      </c>
      <c r="D255" t="s">
        <v>1097</v>
      </c>
      <c r="E255" t="s">
        <v>75</v>
      </c>
      <c r="F255" t="s">
        <v>75</v>
      </c>
      <c r="G255" t="s">
        <v>76</v>
      </c>
    </row>
    <row r="256" spans="1:7">
      <c r="A256">
        <v>97</v>
      </c>
      <c r="B256" t="s">
        <v>1396</v>
      </c>
      <c r="C256" t="s">
        <v>1397</v>
      </c>
      <c r="D256" t="s">
        <v>1105</v>
      </c>
      <c r="E256" t="s">
        <v>192</v>
      </c>
      <c r="F256" t="s">
        <v>449</v>
      </c>
      <c r="G256" t="s">
        <v>76</v>
      </c>
    </row>
    <row r="257" spans="1:7">
      <c r="A257">
        <v>59</v>
      </c>
      <c r="B257" t="s">
        <v>1113</v>
      </c>
      <c r="C257" t="s">
        <v>62</v>
      </c>
      <c r="D257" t="s">
        <v>1113</v>
      </c>
      <c r="E257" t="s">
        <v>62</v>
      </c>
      <c r="F257" t="s">
        <v>62</v>
      </c>
      <c r="G257" t="s">
        <v>42</v>
      </c>
    </row>
    <row r="258" spans="1:7">
      <c r="A258">
        <v>100</v>
      </c>
      <c r="B258" t="s">
        <v>1113</v>
      </c>
      <c r="C258" t="s">
        <v>1398</v>
      </c>
      <c r="D258" t="s">
        <v>1113</v>
      </c>
      <c r="E258" t="s">
        <v>62</v>
      </c>
      <c r="F258" t="s">
        <v>62</v>
      </c>
      <c r="G258" t="s">
        <v>42</v>
      </c>
    </row>
    <row r="259" spans="1:7">
      <c r="A259">
        <v>6</v>
      </c>
      <c r="B259" t="s">
        <v>1092</v>
      </c>
      <c r="C259" t="s">
        <v>1399</v>
      </c>
      <c r="D259" t="s">
        <v>1135</v>
      </c>
      <c r="E259" t="s">
        <v>186</v>
      </c>
      <c r="F259" t="s">
        <v>68</v>
      </c>
      <c r="G259" t="s">
        <v>42</v>
      </c>
    </row>
    <row r="260" spans="1:7">
      <c r="A260">
        <v>2</v>
      </c>
      <c r="B260" t="s">
        <v>1092</v>
      </c>
      <c r="C260" t="s">
        <v>223</v>
      </c>
      <c r="D260" t="s">
        <v>1092</v>
      </c>
      <c r="E260" t="s">
        <v>223</v>
      </c>
      <c r="F260" t="s">
        <v>223</v>
      </c>
      <c r="G260" t="s">
        <v>51</v>
      </c>
    </row>
    <row r="261" spans="1:7">
      <c r="A261">
        <v>61</v>
      </c>
      <c r="B261" t="s">
        <v>1400</v>
      </c>
      <c r="C261" t="s">
        <v>1401</v>
      </c>
      <c r="D261" t="s">
        <v>1101</v>
      </c>
      <c r="E261" t="s">
        <v>132</v>
      </c>
      <c r="F261" t="s">
        <v>132</v>
      </c>
      <c r="G261" t="s">
        <v>51</v>
      </c>
    </row>
    <row r="262" spans="1:7">
      <c r="A262">
        <v>243</v>
      </c>
      <c r="B262" t="s">
        <v>1402</v>
      </c>
      <c r="C262" t="s">
        <v>1403</v>
      </c>
      <c r="D262" t="s">
        <v>1095</v>
      </c>
      <c r="E262" t="s">
        <v>336</v>
      </c>
      <c r="F262" t="s">
        <v>336</v>
      </c>
      <c r="G262" t="s">
        <v>76</v>
      </c>
    </row>
    <row r="263" spans="1:7">
      <c r="A263">
        <v>216</v>
      </c>
      <c r="B263" t="s">
        <v>1404</v>
      </c>
      <c r="C263" t="s">
        <v>1405</v>
      </c>
      <c r="D263" t="s">
        <v>1092</v>
      </c>
      <c r="E263" t="s">
        <v>223</v>
      </c>
      <c r="F263" t="s">
        <v>223</v>
      </c>
      <c r="G263" t="s">
        <v>51</v>
      </c>
    </row>
    <row r="264" spans="1:7">
      <c r="A264">
        <v>11</v>
      </c>
      <c r="B264" t="s">
        <v>1406</v>
      </c>
      <c r="C264" t="s">
        <v>49</v>
      </c>
      <c r="D264" t="s">
        <v>1103</v>
      </c>
      <c r="E264" t="s">
        <v>50</v>
      </c>
      <c r="F264" t="s">
        <v>50</v>
      </c>
      <c r="G264" t="s">
        <v>51</v>
      </c>
    </row>
    <row r="265" spans="1:7">
      <c r="A265">
        <v>67</v>
      </c>
      <c r="B265" t="s">
        <v>1406</v>
      </c>
      <c r="C265" t="s">
        <v>1407</v>
      </c>
      <c r="D265" t="s">
        <v>1120</v>
      </c>
      <c r="E265" t="s">
        <v>154</v>
      </c>
      <c r="F265" t="s">
        <v>154</v>
      </c>
      <c r="G265" t="s">
        <v>51</v>
      </c>
    </row>
    <row r="266" spans="1:7">
      <c r="A266">
        <v>66</v>
      </c>
      <c r="B266" t="s">
        <v>1406</v>
      </c>
      <c r="C266" t="s">
        <v>1408</v>
      </c>
      <c r="D266" t="s">
        <v>1103</v>
      </c>
      <c r="E266" t="s">
        <v>50</v>
      </c>
      <c r="F266" t="s">
        <v>50</v>
      </c>
      <c r="G266" t="s">
        <v>51</v>
      </c>
    </row>
    <row r="267" spans="1:7">
      <c r="A267">
        <v>261</v>
      </c>
      <c r="B267" t="s">
        <v>1409</v>
      </c>
      <c r="C267" t="s">
        <v>1410</v>
      </c>
      <c r="D267" t="s">
        <v>1097</v>
      </c>
      <c r="E267" t="s">
        <v>75</v>
      </c>
      <c r="F267" t="s">
        <v>75</v>
      </c>
      <c r="G267" t="s">
        <v>76</v>
      </c>
    </row>
    <row r="268" spans="1:7">
      <c r="A268">
        <v>271</v>
      </c>
      <c r="B268" t="s">
        <v>1409</v>
      </c>
      <c r="C268" t="s">
        <v>1411</v>
      </c>
      <c r="D268" t="s">
        <v>1165</v>
      </c>
      <c r="E268" t="s">
        <v>68</v>
      </c>
      <c r="F268" t="s">
        <v>68</v>
      </c>
      <c r="G268" t="s">
        <v>42</v>
      </c>
    </row>
    <row r="269" spans="1:7">
      <c r="A269">
        <v>270</v>
      </c>
      <c r="B269" t="s">
        <v>1409</v>
      </c>
      <c r="C269" t="s">
        <v>1412</v>
      </c>
      <c r="D269" t="s">
        <v>1116</v>
      </c>
      <c r="E269" t="s">
        <v>177</v>
      </c>
      <c r="F269" t="s">
        <v>177</v>
      </c>
      <c r="G269" t="s">
        <v>76</v>
      </c>
    </row>
    <row r="270" spans="1:7">
      <c r="A270">
        <v>108</v>
      </c>
      <c r="B270" t="s">
        <v>1409</v>
      </c>
      <c r="C270" t="s">
        <v>1413</v>
      </c>
      <c r="D270" t="s">
        <v>1101</v>
      </c>
      <c r="E270" t="s">
        <v>132</v>
      </c>
      <c r="F270" t="s">
        <v>132</v>
      </c>
      <c r="G270" t="s">
        <v>51</v>
      </c>
    </row>
    <row r="271" spans="1:7">
      <c r="A271">
        <v>267</v>
      </c>
      <c r="B271" t="s">
        <v>1409</v>
      </c>
      <c r="C271" t="s">
        <v>1414</v>
      </c>
      <c r="D271" t="s">
        <v>1105</v>
      </c>
      <c r="E271" t="s">
        <v>192</v>
      </c>
      <c r="F271" t="s">
        <v>449</v>
      </c>
      <c r="G271" t="s">
        <v>76</v>
      </c>
    </row>
    <row r="272" spans="1:7">
      <c r="A272">
        <v>142</v>
      </c>
      <c r="B272" t="s">
        <v>1415</v>
      </c>
      <c r="C272" t="s">
        <v>1416</v>
      </c>
      <c r="D272" t="s">
        <v>1101</v>
      </c>
      <c r="E272" t="s">
        <v>132</v>
      </c>
      <c r="F272" t="s">
        <v>132</v>
      </c>
      <c r="G272" t="s">
        <v>51</v>
      </c>
    </row>
    <row r="273" spans="1:7">
      <c r="A273">
        <v>272</v>
      </c>
      <c r="B273" t="s">
        <v>1415</v>
      </c>
      <c r="C273" t="s">
        <v>1417</v>
      </c>
      <c r="D273" t="s">
        <v>1101</v>
      </c>
      <c r="E273" t="s">
        <v>132</v>
      </c>
      <c r="F273" t="s">
        <v>132</v>
      </c>
      <c r="G273" t="s">
        <v>51</v>
      </c>
    </row>
    <row r="274" spans="1:7">
      <c r="A274">
        <v>274</v>
      </c>
      <c r="B274" t="s">
        <v>1415</v>
      </c>
      <c r="C274" t="s">
        <v>1418</v>
      </c>
      <c r="D274" t="s">
        <v>1101</v>
      </c>
      <c r="E274" t="s">
        <v>132</v>
      </c>
      <c r="F274" t="s">
        <v>132</v>
      </c>
      <c r="G274" t="s">
        <v>51</v>
      </c>
    </row>
    <row r="275" spans="1:7">
      <c r="A275">
        <v>16</v>
      </c>
      <c r="B275" t="s">
        <v>1419</v>
      </c>
      <c r="C275" t="s">
        <v>500</v>
      </c>
      <c r="D275" t="s">
        <v>1092</v>
      </c>
      <c r="E275" t="s">
        <v>223</v>
      </c>
      <c r="F275" t="s">
        <v>223</v>
      </c>
      <c r="G275" t="s">
        <v>51</v>
      </c>
    </row>
    <row r="276" spans="1:7">
      <c r="A276">
        <v>30</v>
      </c>
      <c r="B276" t="s">
        <v>1420</v>
      </c>
      <c r="C276" t="s">
        <v>1421</v>
      </c>
      <c r="D276" t="s">
        <v>1092</v>
      </c>
      <c r="E276" t="s">
        <v>223</v>
      </c>
      <c r="F276" t="s">
        <v>223</v>
      </c>
      <c r="G276" t="s">
        <v>51</v>
      </c>
    </row>
  </sheetData>
  <pageMargins left="0.511811024" right="0.511811024" top="0.78740157499999996" bottom="0.78740157499999996" header="0.31496062000000002" footer="0.31496062000000002"/>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000F1-A446-49D1-A101-18454822D61D}">
  <dimension ref="A1:J33"/>
  <sheetViews>
    <sheetView showGridLines="0" zoomScale="85" zoomScaleNormal="85" workbookViewId="0">
      <selection activeCell="B5" sqref="B5:C5"/>
    </sheetView>
  </sheetViews>
  <sheetFormatPr defaultRowHeight="15"/>
  <cols>
    <col min="1" max="1" width="10.85546875" bestFit="1" customWidth="1"/>
    <col min="2" max="5" width="13.7109375" customWidth="1"/>
    <col min="7" max="7" width="10.85546875" bestFit="1" customWidth="1"/>
    <col min="8" max="8" width="13.7109375" customWidth="1"/>
    <col min="9" max="9" width="17.28515625" bestFit="1" customWidth="1"/>
    <col min="10" max="10" width="13.7109375" customWidth="1"/>
  </cols>
  <sheetData>
    <row r="1" spans="1:10">
      <c r="A1" s="58" t="s">
        <v>1422</v>
      </c>
      <c r="B1" s="58"/>
      <c r="C1" s="58"/>
      <c r="D1" s="58"/>
      <c r="E1" s="58"/>
      <c r="G1" s="58" t="s">
        <v>1423</v>
      </c>
      <c r="H1" s="58"/>
      <c r="I1" s="58"/>
      <c r="J1" s="58"/>
    </row>
    <row r="3" spans="1:10">
      <c r="A3" s="1" t="s">
        <v>1424</v>
      </c>
      <c r="B3" s="27" t="s">
        <v>1425</v>
      </c>
      <c r="G3" s="1" t="s">
        <v>1424</v>
      </c>
      <c r="H3" s="2" t="s">
        <v>1426</v>
      </c>
    </row>
    <row r="4" spans="1:10">
      <c r="A4" s="3" t="s">
        <v>1427</v>
      </c>
      <c r="B4" s="4" t="s">
        <v>1428</v>
      </c>
      <c r="C4" s="4" t="s">
        <v>1429</v>
      </c>
      <c r="G4" s="3" t="s">
        <v>1427</v>
      </c>
      <c r="H4" s="4" t="s">
        <v>1430</v>
      </c>
      <c r="I4" s="4" t="s">
        <v>760</v>
      </c>
      <c r="J4" s="4" t="s">
        <v>1431</v>
      </c>
    </row>
    <row r="5" spans="1:10">
      <c r="A5" s="3" t="s">
        <v>1432</v>
      </c>
      <c r="B5" s="4">
        <v>15</v>
      </c>
      <c r="C5" s="4">
        <v>5</v>
      </c>
      <c r="G5" s="3" t="s">
        <v>1432</v>
      </c>
      <c r="H5" s="4">
        <v>40</v>
      </c>
      <c r="I5" s="4">
        <v>0</v>
      </c>
      <c r="J5" s="4">
        <v>20</v>
      </c>
    </row>
    <row r="7" spans="1:10">
      <c r="A7" s="1" t="s">
        <v>1433</v>
      </c>
      <c r="B7" s="27" t="s">
        <v>1434</v>
      </c>
      <c r="G7" s="1" t="s">
        <v>1433</v>
      </c>
      <c r="H7" s="2" t="s">
        <v>1435</v>
      </c>
    </row>
    <row r="8" spans="1:10">
      <c r="A8" s="3" t="s">
        <v>1427</v>
      </c>
      <c r="B8" s="4" t="s">
        <v>1436</v>
      </c>
      <c r="C8" s="4" t="s">
        <v>1437</v>
      </c>
      <c r="D8" s="4" t="s">
        <v>1438</v>
      </c>
      <c r="E8" s="4" t="s">
        <v>1439</v>
      </c>
      <c r="G8" s="3" t="s">
        <v>1427</v>
      </c>
      <c r="H8" s="4" t="s">
        <v>760</v>
      </c>
      <c r="I8" s="4" t="s">
        <v>770</v>
      </c>
      <c r="J8" s="4"/>
    </row>
    <row r="9" spans="1:10">
      <c r="A9" s="3" t="s">
        <v>1432</v>
      </c>
      <c r="B9" s="4">
        <v>20</v>
      </c>
      <c r="C9" s="4">
        <v>10</v>
      </c>
      <c r="D9" s="4">
        <v>10</v>
      </c>
      <c r="E9" s="4">
        <v>5</v>
      </c>
      <c r="G9" s="3" t="s">
        <v>1432</v>
      </c>
      <c r="H9" s="4">
        <v>20</v>
      </c>
      <c r="I9" s="4">
        <v>0</v>
      </c>
      <c r="J9" s="4"/>
    </row>
    <row r="11" spans="1:10">
      <c r="A11" s="1" t="s">
        <v>1440</v>
      </c>
      <c r="B11" s="27" t="s">
        <v>1441</v>
      </c>
      <c r="G11" s="1" t="s">
        <v>1440</v>
      </c>
      <c r="H11" s="2" t="s">
        <v>1442</v>
      </c>
    </row>
    <row r="12" spans="1:10">
      <c r="A12" s="3" t="s">
        <v>1427</v>
      </c>
      <c r="B12" t="s">
        <v>1443</v>
      </c>
      <c r="C12" s="4" t="s">
        <v>1444</v>
      </c>
      <c r="D12" s="4" t="s">
        <v>1445</v>
      </c>
      <c r="G12" s="3" t="s">
        <v>1427</v>
      </c>
      <c r="H12" s="4" t="s">
        <v>760</v>
      </c>
      <c r="I12" s="4" t="s">
        <v>770</v>
      </c>
    </row>
    <row r="13" spans="1:10">
      <c r="A13" s="3" t="s">
        <v>1432</v>
      </c>
      <c r="B13" s="4">
        <v>15</v>
      </c>
      <c r="C13" s="4">
        <v>5</v>
      </c>
      <c r="D13" s="4">
        <v>0</v>
      </c>
      <c r="G13" s="3" t="s">
        <v>1432</v>
      </c>
      <c r="H13" s="4">
        <v>20</v>
      </c>
      <c r="I13" s="4">
        <v>0</v>
      </c>
    </row>
    <row r="15" spans="1:10">
      <c r="A15" s="1" t="s">
        <v>1446</v>
      </c>
      <c r="B15" s="2" t="s">
        <v>1447</v>
      </c>
      <c r="G15" s="1" t="s">
        <v>1446</v>
      </c>
      <c r="H15" s="2" t="s">
        <v>1441</v>
      </c>
    </row>
    <row r="16" spans="1:10">
      <c r="A16" s="3" t="s">
        <v>1427</v>
      </c>
      <c r="B16" s="4" t="s">
        <v>760</v>
      </c>
      <c r="C16" s="4" t="s">
        <v>770</v>
      </c>
      <c r="D16" s="4"/>
      <c r="G16" s="3" t="s">
        <v>1427</v>
      </c>
      <c r="H16" s="4" t="s">
        <v>1443</v>
      </c>
      <c r="I16" s="4" t="s">
        <v>1444</v>
      </c>
      <c r="J16" s="4" t="s">
        <v>1445</v>
      </c>
    </row>
    <row r="17" spans="1:10">
      <c r="A17" s="3" t="s">
        <v>1432</v>
      </c>
      <c r="B17" s="4">
        <v>15</v>
      </c>
      <c r="C17" s="4">
        <v>0</v>
      </c>
      <c r="D17" s="4"/>
      <c r="G17" s="3" t="s">
        <v>1432</v>
      </c>
      <c r="H17" s="4">
        <v>20</v>
      </c>
      <c r="I17" s="4">
        <v>10</v>
      </c>
      <c r="J17" s="4">
        <v>0</v>
      </c>
    </row>
    <row r="19" spans="1:10">
      <c r="A19" s="1" t="s">
        <v>1448</v>
      </c>
      <c r="B19" s="2" t="s">
        <v>1449</v>
      </c>
      <c r="G19" s="1" t="s">
        <v>1448</v>
      </c>
      <c r="H19" s="2" t="s">
        <v>1450</v>
      </c>
    </row>
    <row r="20" spans="1:10">
      <c r="A20" s="3" t="s">
        <v>1427</v>
      </c>
      <c r="B20" s="4" t="s">
        <v>760</v>
      </c>
      <c r="C20" s="4" t="s">
        <v>770</v>
      </c>
      <c r="G20" s="3" t="s">
        <v>1427</v>
      </c>
      <c r="H20" s="4" t="s">
        <v>13</v>
      </c>
      <c r="I20" s="4" t="s">
        <v>1451</v>
      </c>
      <c r="J20" s="4" t="s">
        <v>15</v>
      </c>
    </row>
    <row r="21" spans="1:10">
      <c r="A21" s="3" t="s">
        <v>1432</v>
      </c>
      <c r="B21" s="4">
        <v>15</v>
      </c>
      <c r="C21" s="4">
        <v>0</v>
      </c>
      <c r="G21" s="3" t="s">
        <v>1432</v>
      </c>
      <c r="H21" s="4">
        <v>20</v>
      </c>
      <c r="I21" s="4">
        <v>10</v>
      </c>
      <c r="J21" s="4">
        <v>0</v>
      </c>
    </row>
    <row r="23" spans="1:10">
      <c r="A23" s="1" t="s">
        <v>1452</v>
      </c>
      <c r="B23" s="2" t="s">
        <v>1453</v>
      </c>
    </row>
    <row r="24" spans="1:10">
      <c r="A24" s="3" t="s">
        <v>1427</v>
      </c>
      <c r="B24" s="4" t="s">
        <v>760</v>
      </c>
      <c r="C24" s="4" t="s">
        <v>770</v>
      </c>
      <c r="D24" s="4"/>
      <c r="J24" s="4"/>
    </row>
    <row r="25" spans="1:10">
      <c r="A25" s="3" t="s">
        <v>1432</v>
      </c>
      <c r="B25" s="4">
        <v>10</v>
      </c>
      <c r="C25" s="4">
        <v>0</v>
      </c>
      <c r="D25" s="4"/>
      <c r="J25" s="4"/>
    </row>
    <row r="27" spans="1:10">
      <c r="A27" s="1" t="s">
        <v>1454</v>
      </c>
      <c r="B27" s="2" t="s">
        <v>1455</v>
      </c>
    </row>
    <row r="28" spans="1:10">
      <c r="A28" s="3" t="s">
        <v>1427</v>
      </c>
      <c r="B28" s="4" t="s">
        <v>760</v>
      </c>
      <c r="C28" s="4" t="s">
        <v>770</v>
      </c>
    </row>
    <row r="29" spans="1:10">
      <c r="A29" s="3" t="s">
        <v>1432</v>
      </c>
      <c r="B29" s="4">
        <v>10</v>
      </c>
      <c r="C29" s="4">
        <v>0</v>
      </c>
    </row>
    <row r="31" spans="1:10">
      <c r="A31" s="1" t="s">
        <v>1456</v>
      </c>
      <c r="B31" s="2" t="s">
        <v>1450</v>
      </c>
    </row>
    <row r="32" spans="1:10">
      <c r="A32" s="3" t="s">
        <v>1427</v>
      </c>
      <c r="B32" s="4" t="s">
        <v>13</v>
      </c>
      <c r="C32" s="4" t="s">
        <v>15</v>
      </c>
    </row>
    <row r="33" spans="1:3">
      <c r="A33" s="3" t="s">
        <v>1432</v>
      </c>
      <c r="B33" s="4">
        <v>15</v>
      </c>
      <c r="C33" s="4">
        <v>0</v>
      </c>
    </row>
  </sheetData>
  <mergeCells count="2">
    <mergeCell ref="G1:J1"/>
    <mergeCell ref="A1:E1"/>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5320B-7D16-4FEB-8FEB-22E07DFA6955}">
  <dimension ref="A2:C8"/>
  <sheetViews>
    <sheetView workbookViewId="0">
      <selection activeCell="A6" sqref="A6:C6"/>
    </sheetView>
  </sheetViews>
  <sheetFormatPr defaultRowHeight="15"/>
  <cols>
    <col min="1" max="3" width="15.140625" customWidth="1"/>
  </cols>
  <sheetData>
    <row r="2" spans="1:3">
      <c r="A2" s="58" t="s">
        <v>1457</v>
      </c>
      <c r="B2" s="58"/>
      <c r="C2" s="58"/>
    </row>
    <row r="3" spans="1:3">
      <c r="A3" s="60" t="s">
        <v>1458</v>
      </c>
      <c r="B3" s="59" t="s">
        <v>1459</v>
      </c>
      <c r="C3" s="59"/>
    </row>
    <row r="4" spans="1:3">
      <c r="A4" s="61"/>
      <c r="B4" s="6" t="s">
        <v>5</v>
      </c>
      <c r="C4" s="6" t="s">
        <v>6</v>
      </c>
    </row>
    <row r="5" spans="1:3">
      <c r="A5" s="4" t="s">
        <v>9</v>
      </c>
      <c r="B5" s="4" t="s">
        <v>1460</v>
      </c>
      <c r="C5" s="4" t="s">
        <v>1461</v>
      </c>
    </row>
    <row r="6" spans="1:3">
      <c r="A6" s="4" t="s">
        <v>13</v>
      </c>
      <c r="B6" s="4" t="s">
        <v>1462</v>
      </c>
      <c r="C6" s="4" t="s">
        <v>1463</v>
      </c>
    </row>
    <row r="7" spans="1:3">
      <c r="A7" s="4" t="s">
        <v>14</v>
      </c>
      <c r="B7" s="4" t="s">
        <v>1464</v>
      </c>
      <c r="C7" s="4" t="s">
        <v>1465</v>
      </c>
    </row>
    <row r="8" spans="1:3">
      <c r="A8" s="4" t="s">
        <v>15</v>
      </c>
      <c r="B8" s="4" t="s">
        <v>1466</v>
      </c>
      <c r="C8" s="4" t="s">
        <v>1467</v>
      </c>
    </row>
  </sheetData>
  <mergeCells count="3">
    <mergeCell ref="B3:C3"/>
    <mergeCell ref="A2:C2"/>
    <mergeCell ref="A3:A4"/>
  </mergeCell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6C61C35405610D4F935833E55DC15577" ma:contentTypeVersion="15" ma:contentTypeDescription="Crie um novo documento." ma:contentTypeScope="" ma:versionID="47d50944208328d624b4b5dde74ef3f9">
  <xsd:schema xmlns:xsd="http://www.w3.org/2001/XMLSchema" xmlns:xs="http://www.w3.org/2001/XMLSchema" xmlns:p="http://schemas.microsoft.com/office/2006/metadata/properties" xmlns:ns3="adc70cac-8545-47b7-a261-82d69e6fcca6" xmlns:ns4="5d55b19c-0386-4dff-a730-2149a0284772" targetNamespace="http://schemas.microsoft.com/office/2006/metadata/properties" ma:root="true" ma:fieldsID="f12b118c3348c9ecda710c15958ab482" ns3:_="" ns4:_="">
    <xsd:import namespace="adc70cac-8545-47b7-a261-82d69e6fcca6"/>
    <xsd:import namespace="5d55b19c-0386-4dff-a730-2149a0284772"/>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c70cac-8545-47b7-a261-82d69e6fcc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ystemTags" ma:index="11" nillable="true" ma:displayName="MediaServiceSystemTags" ma:hidden="true" ma:internalName="MediaServiceSystemTags"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_activity" ma:index="15" nillable="true" ma:displayName="_activity" ma:hidden="true" ma:internalName="_activity">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d55b19c-0386-4dff-a730-2149a0284772"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element name="SharingHintHash" ma:index="18" nillable="true" ma:displayName="Hash de Dica de Compartilhamento"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activity xmlns="adc70cac-8545-47b7-a261-82d69e6fcca6" xsi:nil="true"/>
  </documentManagement>
</p:properties>
</file>

<file path=customXml/itemProps1.xml><?xml version="1.0" encoding="utf-8"?>
<ds:datastoreItem xmlns:ds="http://schemas.openxmlformats.org/officeDocument/2006/customXml" ds:itemID="{E0189B59-06FC-466A-AC9B-DE7E0549CB94}"/>
</file>

<file path=customXml/itemProps2.xml><?xml version="1.0" encoding="utf-8"?>
<ds:datastoreItem xmlns:ds="http://schemas.openxmlformats.org/officeDocument/2006/customXml" ds:itemID="{34FFCA0C-2673-4C68-B141-93FFE53670D1}"/>
</file>

<file path=customXml/itemProps3.xml><?xml version="1.0" encoding="utf-8"?>
<ds:datastoreItem xmlns:ds="http://schemas.openxmlformats.org/officeDocument/2006/customXml" ds:itemID="{8A9E584F-9AEE-48EF-A9DF-D30AE344C7BD}"/>
</file>

<file path=customXml/itemProps4.xml><?xml version="1.0" encoding="utf-8"?>
<ds:datastoreItem xmlns:ds="http://schemas.openxmlformats.org/officeDocument/2006/customXml" ds:itemID="{3F613A65-F910-4F47-A469-4F35A755E83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
  <cp:revision/>
  <dcterms:created xsi:type="dcterms:W3CDTF">2016-07-06T08:22:49Z</dcterms:created>
  <dcterms:modified xsi:type="dcterms:W3CDTF">2026-08-13T09:47:59Z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0x0101006C61C35405610D4F935833E55DC15577</vt:lpwstr>
  </property>
</Properties>
</file>